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rojetos\pae\"/>
    </mc:Choice>
  </mc:AlternateContent>
  <xr:revisionPtr revIDLastSave="0" documentId="13_ncr:1_{9343F600-08D2-48FA-8F8C-884A42F0A473}" xr6:coauthVersionLast="47" xr6:coauthVersionMax="47" xr10:uidLastSave="{00000000-0000-0000-0000-000000000000}"/>
  <bookViews>
    <workbookView xWindow="21480" yWindow="-105" windowWidth="21840" windowHeight="13140" xr2:uid="{EC7D51D4-B691-4CA0-BCA1-8F7CA31B49AB}"/>
  </bookViews>
  <sheets>
    <sheet name="tela inicial" sheetId="14" r:id="rId1"/>
    <sheet name="nota" sheetId="1" state="veryHidden" r:id="rId2"/>
    <sheet name="turma" sheetId="3" state="veryHidden" r:id="rId3"/>
    <sheet name="config" sheetId="2" state="veryHidden" r:id="rId4"/>
    <sheet name="indice" sheetId="4" state="veryHidden" r:id="rId5"/>
  </sheets>
  <functionGroups builtInGroupCount="19"/>
  <definedNames>
    <definedName name="_xlnm.Print_Area" localSheetId="1">OFFSET(nota!$A$1,0,0,COUNTA(nota!$A$1:$A$204)+2,25)</definedName>
    <definedName name="area_de_notas">nota!$A$9:$S$204</definedName>
    <definedName name="avaliacoes_bi">config!$E$2</definedName>
    <definedName name="cel_ano_letivo">nota!$B$2</definedName>
    <definedName name="cel_canto_sup">nota!$A$9</definedName>
    <definedName name="cel_disciplina">nota!$B$6</definedName>
    <definedName name="cel_inicial">turma!$B$2</definedName>
    <definedName name="cel_modEnsino">nota!$B$3</definedName>
    <definedName name="cel_turma">nota!$B$5</definedName>
    <definedName name="cel_turno">nota!$B$4</definedName>
    <definedName name="especializacao">indice!$AF$1000</definedName>
    <definedName name="id_professor">indice!$AG$1000</definedName>
    <definedName name="id_profissional">indice!$Z$1000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completo">indice!$AA$1000</definedName>
    <definedName name="recup">config!$J$2</definedName>
    <definedName name="senha">indice!$AC$1000</definedName>
    <definedName name="status">indice!$AE$1000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>nota!$A$9:$E$11</definedName>
    <definedName name="tipo_usuario">indice!$AD$1000</definedName>
    <definedName name="_xlnm.Print_Titles" localSheetId="1">nota!$1:$8</definedName>
    <definedName name="usuario">indice!$AB$1000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5" i="1" l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6" i="3"/>
  <c r="A7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3" i="3"/>
  <c r="A4" i="3"/>
  <c r="A5" i="3"/>
  <c r="A2" i="3"/>
  <c r="J7" i="4"/>
  <c r="I7" i="4"/>
  <c r="H7" i="4"/>
  <c r="Q3" i="1"/>
  <c r="P3" i="1"/>
  <c r="O3" i="1"/>
  <c r="M3" i="1"/>
  <c r="L3" i="1"/>
  <c r="K3" i="1"/>
  <c r="N3" i="1"/>
  <c r="R3" i="1"/>
  <c r="D3" i="1"/>
  <c r="J3" i="1"/>
  <c r="I3" i="1"/>
  <c r="H3" i="1"/>
  <c r="G3" i="1"/>
  <c r="F3" i="1"/>
  <c r="E3" i="1"/>
  <c r="C3" i="1"/>
  <c r="T16" i="1"/>
  <c r="U16" i="1"/>
  <c r="V16" i="1"/>
  <c r="W16" i="1"/>
  <c r="T17" i="1"/>
  <c r="U17" i="1"/>
  <c r="V17" i="1"/>
  <c r="W17" i="1"/>
  <c r="T18" i="1"/>
  <c r="U18" i="1"/>
  <c r="V18" i="1"/>
  <c r="W18" i="1"/>
  <c r="T19" i="1"/>
  <c r="U19" i="1"/>
  <c r="V19" i="1"/>
  <c r="W19" i="1"/>
  <c r="T20" i="1"/>
  <c r="U20" i="1"/>
  <c r="V20" i="1"/>
  <c r="W20" i="1"/>
  <c r="T21" i="1"/>
  <c r="U21" i="1"/>
  <c r="V21" i="1"/>
  <c r="W21" i="1"/>
  <c r="T22" i="1"/>
  <c r="U22" i="1"/>
  <c r="V22" i="1"/>
  <c r="W22" i="1"/>
  <c r="T23" i="1"/>
  <c r="U23" i="1"/>
  <c r="V23" i="1"/>
  <c r="W23" i="1"/>
  <c r="T24" i="1"/>
  <c r="U24" i="1"/>
  <c r="V24" i="1"/>
  <c r="W24" i="1"/>
  <c r="T25" i="1"/>
  <c r="U25" i="1"/>
  <c r="V25" i="1"/>
  <c r="W25" i="1"/>
  <c r="T26" i="1"/>
  <c r="U26" i="1"/>
  <c r="V26" i="1"/>
  <c r="W26" i="1"/>
  <c r="T27" i="1"/>
  <c r="U27" i="1"/>
  <c r="V27" i="1"/>
  <c r="W27" i="1"/>
  <c r="T28" i="1"/>
  <c r="U28" i="1"/>
  <c r="V28" i="1"/>
  <c r="W28" i="1"/>
  <c r="T29" i="1"/>
  <c r="U29" i="1"/>
  <c r="V29" i="1"/>
  <c r="W29" i="1"/>
  <c r="T30" i="1"/>
  <c r="U30" i="1"/>
  <c r="V30" i="1"/>
  <c r="W30" i="1"/>
  <c r="T31" i="1"/>
  <c r="U31" i="1"/>
  <c r="V31" i="1"/>
  <c r="W31" i="1"/>
  <c r="T32" i="1"/>
  <c r="U32" i="1"/>
  <c r="V32" i="1"/>
  <c r="W32" i="1"/>
  <c r="T33" i="1"/>
  <c r="U33" i="1"/>
  <c r="V33" i="1"/>
  <c r="W33" i="1"/>
  <c r="T34" i="1"/>
  <c r="U34" i="1"/>
  <c r="V34" i="1"/>
  <c r="W34" i="1"/>
  <c r="T35" i="1"/>
  <c r="U35" i="1"/>
  <c r="V35" i="1"/>
  <c r="W35" i="1"/>
  <c r="T36" i="1"/>
  <c r="U36" i="1"/>
  <c r="V36" i="1"/>
  <c r="W36" i="1"/>
  <c r="T37" i="1"/>
  <c r="U37" i="1"/>
  <c r="V37" i="1"/>
  <c r="W37" i="1"/>
  <c r="T38" i="1"/>
  <c r="U38" i="1"/>
  <c r="V38" i="1"/>
  <c r="W38" i="1"/>
  <c r="T39" i="1"/>
  <c r="U39" i="1"/>
  <c r="V39" i="1"/>
  <c r="W39" i="1"/>
  <c r="T40" i="1"/>
  <c r="U40" i="1"/>
  <c r="V40" i="1"/>
  <c r="W40" i="1"/>
  <c r="T41" i="1"/>
  <c r="U41" i="1"/>
  <c r="V41" i="1"/>
  <c r="W41" i="1"/>
  <c r="T42" i="1"/>
  <c r="U42" i="1"/>
  <c r="V42" i="1"/>
  <c r="W42" i="1"/>
  <c r="T43" i="1"/>
  <c r="U43" i="1"/>
  <c r="V43" i="1"/>
  <c r="W43" i="1"/>
  <c r="T44" i="1"/>
  <c r="U44" i="1"/>
  <c r="V44" i="1"/>
  <c r="W44" i="1"/>
  <c r="T45" i="1"/>
  <c r="U45" i="1"/>
  <c r="V45" i="1"/>
  <c r="W45" i="1"/>
  <c r="T46" i="1"/>
  <c r="U46" i="1"/>
  <c r="V46" i="1"/>
  <c r="W46" i="1"/>
  <c r="T47" i="1"/>
  <c r="U47" i="1"/>
  <c r="V47" i="1"/>
  <c r="W47" i="1"/>
  <c r="T48" i="1"/>
  <c r="U48" i="1"/>
  <c r="V48" i="1"/>
  <c r="W48" i="1"/>
  <c r="T49" i="1"/>
  <c r="U49" i="1"/>
  <c r="V49" i="1"/>
  <c r="W49" i="1"/>
  <c r="T50" i="1"/>
  <c r="U50" i="1"/>
  <c r="V50" i="1"/>
  <c r="W50" i="1"/>
  <c r="T51" i="1"/>
  <c r="U51" i="1"/>
  <c r="V51" i="1"/>
  <c r="W51" i="1"/>
  <c r="T52" i="1"/>
  <c r="U52" i="1"/>
  <c r="V52" i="1"/>
  <c r="W52" i="1"/>
  <c r="T53" i="1"/>
  <c r="U53" i="1"/>
  <c r="V53" i="1"/>
  <c r="W53" i="1"/>
  <c r="T54" i="1"/>
  <c r="U54" i="1"/>
  <c r="V54" i="1"/>
  <c r="W54" i="1"/>
  <c r="T55" i="1"/>
  <c r="U55" i="1"/>
  <c r="V55" i="1"/>
  <c r="W55" i="1"/>
  <c r="T56" i="1"/>
  <c r="U56" i="1"/>
  <c r="V56" i="1"/>
  <c r="W56" i="1"/>
  <c r="T57" i="1"/>
  <c r="U57" i="1"/>
  <c r="V57" i="1"/>
  <c r="W57" i="1"/>
  <c r="T58" i="1"/>
  <c r="U58" i="1"/>
  <c r="V58" i="1"/>
  <c r="W58" i="1"/>
  <c r="T59" i="1"/>
  <c r="U59" i="1"/>
  <c r="V59" i="1"/>
  <c r="W59" i="1"/>
  <c r="T60" i="1"/>
  <c r="U60" i="1"/>
  <c r="V60" i="1"/>
  <c r="W60" i="1"/>
  <c r="T61" i="1"/>
  <c r="U61" i="1"/>
  <c r="V61" i="1"/>
  <c r="W61" i="1"/>
  <c r="T62" i="1"/>
  <c r="U62" i="1"/>
  <c r="V62" i="1"/>
  <c r="W62" i="1"/>
  <c r="T63" i="1"/>
  <c r="U63" i="1"/>
  <c r="V63" i="1"/>
  <c r="W63" i="1"/>
  <c r="T64" i="1"/>
  <c r="U64" i="1"/>
  <c r="V64" i="1"/>
  <c r="W64" i="1"/>
  <c r="T65" i="1"/>
  <c r="U65" i="1"/>
  <c r="V65" i="1"/>
  <c r="W65" i="1"/>
  <c r="T66" i="1"/>
  <c r="U66" i="1"/>
  <c r="V66" i="1"/>
  <c r="W66" i="1"/>
  <c r="T67" i="1"/>
  <c r="U67" i="1"/>
  <c r="V67" i="1"/>
  <c r="W67" i="1"/>
  <c r="T68" i="1"/>
  <c r="U68" i="1"/>
  <c r="V68" i="1"/>
  <c r="W68" i="1"/>
  <c r="T69" i="1"/>
  <c r="U69" i="1"/>
  <c r="V69" i="1"/>
  <c r="W69" i="1"/>
  <c r="T70" i="1"/>
  <c r="U70" i="1"/>
  <c r="V70" i="1"/>
  <c r="W70" i="1"/>
  <c r="T71" i="1"/>
  <c r="U71" i="1"/>
  <c r="V71" i="1"/>
  <c r="W71" i="1"/>
  <c r="T72" i="1"/>
  <c r="U72" i="1"/>
  <c r="V72" i="1"/>
  <c r="W72" i="1"/>
  <c r="T73" i="1"/>
  <c r="U73" i="1"/>
  <c r="V73" i="1"/>
  <c r="W73" i="1"/>
  <c r="T74" i="1"/>
  <c r="U74" i="1"/>
  <c r="V74" i="1"/>
  <c r="W74" i="1"/>
  <c r="T75" i="1"/>
  <c r="U75" i="1"/>
  <c r="V75" i="1"/>
  <c r="W75" i="1"/>
  <c r="T76" i="1"/>
  <c r="U76" i="1"/>
  <c r="V76" i="1"/>
  <c r="W76" i="1"/>
  <c r="T77" i="1"/>
  <c r="U77" i="1"/>
  <c r="V77" i="1"/>
  <c r="W77" i="1"/>
  <c r="T78" i="1"/>
  <c r="U78" i="1"/>
  <c r="V78" i="1"/>
  <c r="W78" i="1"/>
  <c r="T79" i="1"/>
  <c r="U79" i="1"/>
  <c r="V79" i="1"/>
  <c r="W79" i="1"/>
  <c r="T80" i="1"/>
  <c r="U80" i="1"/>
  <c r="V80" i="1"/>
  <c r="W80" i="1"/>
  <c r="T81" i="1"/>
  <c r="U81" i="1"/>
  <c r="V81" i="1"/>
  <c r="W81" i="1"/>
  <c r="T82" i="1"/>
  <c r="U82" i="1"/>
  <c r="V82" i="1"/>
  <c r="W82" i="1"/>
  <c r="T83" i="1"/>
  <c r="U83" i="1"/>
  <c r="V83" i="1"/>
  <c r="W83" i="1"/>
  <c r="T84" i="1"/>
  <c r="U84" i="1"/>
  <c r="V84" i="1"/>
  <c r="W84" i="1"/>
  <c r="T85" i="1"/>
  <c r="U85" i="1"/>
  <c r="V85" i="1"/>
  <c r="W85" i="1"/>
  <c r="T86" i="1"/>
  <c r="U86" i="1"/>
  <c r="V86" i="1"/>
  <c r="W86" i="1"/>
  <c r="T87" i="1"/>
  <c r="U87" i="1"/>
  <c r="V87" i="1"/>
  <c r="W87" i="1"/>
  <c r="T88" i="1"/>
  <c r="U88" i="1"/>
  <c r="V88" i="1"/>
  <c r="W88" i="1"/>
  <c r="T89" i="1"/>
  <c r="U89" i="1"/>
  <c r="V89" i="1"/>
  <c r="W89" i="1"/>
  <c r="T90" i="1"/>
  <c r="U90" i="1"/>
  <c r="V90" i="1"/>
  <c r="W90" i="1"/>
  <c r="T91" i="1"/>
  <c r="U91" i="1"/>
  <c r="V91" i="1"/>
  <c r="W91" i="1"/>
  <c r="T92" i="1"/>
  <c r="U92" i="1"/>
  <c r="V92" i="1"/>
  <c r="W92" i="1"/>
  <c r="T93" i="1"/>
  <c r="U93" i="1"/>
  <c r="V93" i="1"/>
  <c r="W93" i="1"/>
  <c r="T94" i="1"/>
  <c r="U94" i="1"/>
  <c r="V94" i="1"/>
  <c r="W94" i="1"/>
  <c r="T95" i="1"/>
  <c r="U95" i="1"/>
  <c r="V95" i="1"/>
  <c r="W95" i="1"/>
  <c r="T96" i="1"/>
  <c r="U96" i="1"/>
  <c r="V96" i="1"/>
  <c r="W96" i="1"/>
  <c r="T97" i="1"/>
  <c r="U97" i="1"/>
  <c r="V97" i="1"/>
  <c r="W97" i="1"/>
  <c r="T98" i="1"/>
  <c r="U98" i="1"/>
  <c r="V98" i="1"/>
  <c r="W98" i="1"/>
  <c r="T99" i="1"/>
  <c r="U99" i="1"/>
  <c r="V99" i="1"/>
  <c r="W99" i="1"/>
  <c r="T100" i="1"/>
  <c r="U100" i="1"/>
  <c r="V100" i="1"/>
  <c r="W100" i="1"/>
  <c r="T101" i="1"/>
  <c r="U101" i="1"/>
  <c r="V101" i="1"/>
  <c r="W101" i="1"/>
  <c r="T102" i="1"/>
  <c r="U102" i="1"/>
  <c r="V102" i="1"/>
  <c r="W102" i="1"/>
  <c r="T103" i="1"/>
  <c r="U103" i="1"/>
  <c r="V103" i="1"/>
  <c r="W103" i="1"/>
  <c r="T104" i="1"/>
  <c r="U104" i="1"/>
  <c r="V104" i="1"/>
  <c r="W104" i="1"/>
  <c r="T10" i="1"/>
  <c r="Y10" i="1" s="1"/>
  <c r="U10" i="1"/>
  <c r="V10" i="1"/>
  <c r="W10" i="1"/>
  <c r="T11" i="1"/>
  <c r="Y11" i="1" s="1"/>
  <c r="U11" i="1"/>
  <c r="V11" i="1"/>
  <c r="W11" i="1"/>
  <c r="T12" i="1"/>
  <c r="U12" i="1"/>
  <c r="V12" i="1"/>
  <c r="W12" i="1"/>
  <c r="T13" i="1"/>
  <c r="U13" i="1"/>
  <c r="V13" i="1"/>
  <c r="W13" i="1"/>
  <c r="T14" i="1"/>
  <c r="Y14" i="1" s="1"/>
  <c r="U14" i="1"/>
  <c r="V14" i="1"/>
  <c r="W14" i="1"/>
  <c r="T15" i="1"/>
  <c r="U15" i="1"/>
  <c r="V15" i="1"/>
  <c r="W15" i="1"/>
  <c r="W9" i="1"/>
  <c r="V9" i="1"/>
  <c r="U9" i="1"/>
  <c r="T9" i="1"/>
  <c r="Y13" i="1" l="1"/>
  <c r="Y9" i="1"/>
  <c r="X104" i="1"/>
  <c r="X102" i="1"/>
  <c r="X100" i="1"/>
  <c r="X98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103" i="1"/>
  <c r="X101" i="1"/>
  <c r="X99" i="1"/>
  <c r="X97" i="1"/>
  <c r="X11" i="1"/>
  <c r="X57" i="1"/>
  <c r="X55" i="1"/>
  <c r="X53" i="1"/>
  <c r="X51" i="1"/>
  <c r="X49" i="1"/>
  <c r="X46" i="1"/>
  <c r="X44" i="1"/>
  <c r="X42" i="1"/>
  <c r="X39" i="1"/>
  <c r="X37" i="1"/>
  <c r="X35" i="1"/>
  <c r="X33" i="1"/>
  <c r="X31" i="1"/>
  <c r="X29" i="1"/>
  <c r="X27" i="1"/>
  <c r="X24" i="1"/>
  <c r="X58" i="1"/>
  <c r="X56" i="1"/>
  <c r="X54" i="1"/>
  <c r="X52" i="1"/>
  <c r="X50" i="1"/>
  <c r="X48" i="1"/>
  <c r="X47" i="1"/>
  <c r="X45" i="1"/>
  <c r="X43" i="1"/>
  <c r="X41" i="1"/>
  <c r="X40" i="1"/>
  <c r="X38" i="1"/>
  <c r="X36" i="1"/>
  <c r="X34" i="1"/>
  <c r="X32" i="1"/>
  <c r="X30" i="1"/>
  <c r="X28" i="1"/>
  <c r="X26" i="1"/>
  <c r="X25" i="1"/>
  <c r="X22" i="1"/>
  <c r="X59" i="1"/>
  <c r="X23" i="1"/>
  <c r="X21" i="1"/>
  <c r="X20" i="1"/>
  <c r="X19" i="1"/>
  <c r="X18" i="1"/>
  <c r="X16" i="1"/>
  <c r="X12" i="1"/>
  <c r="Y12" i="1" s="1"/>
  <c r="X10" i="1"/>
  <c r="X14" i="1"/>
  <c r="X13" i="1"/>
  <c r="X15" i="1"/>
  <c r="X17" i="1"/>
  <c r="X9" i="1"/>
  <c r="A8" i="3"/>
  <c r="B4" i="1" s="1"/>
  <c r="B5" i="1" l="1"/>
  <c r="B6" i="1"/>
  <c r="B2" i="1"/>
  <c r="B3" i="1"/>
</calcChain>
</file>

<file path=xl/sharedStrings.xml><?xml version="1.0" encoding="utf-8"?>
<sst xmlns="http://schemas.openxmlformats.org/spreadsheetml/2006/main" count="112" uniqueCount="106">
  <si>
    <t>1º BIMESTRE</t>
  </si>
  <si>
    <t>MATRIÍCULA</t>
  </si>
  <si>
    <t>NOME</t>
  </si>
  <si>
    <t>2º BIMESTRE</t>
  </si>
  <si>
    <t>3º BIMESTRE</t>
  </si>
  <si>
    <t>4º BIMESTRE</t>
  </si>
  <si>
    <t>MÉDIA</t>
  </si>
  <si>
    <t>FINAL</t>
  </si>
  <si>
    <t>Média do bimestre</t>
  </si>
  <si>
    <t>Média final</t>
  </si>
  <si>
    <t>SITUAÇÃO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</si>
  <si>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</si>
  <si>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</si>
  <si>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</si>
  <si>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</si>
  <si>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</si>
  <si>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</si>
  <si>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</si>
  <si>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ANO</t>
  </si>
  <si>
    <t>SÉRIE</t>
  </si>
  <si>
    <t>TURMA</t>
  </si>
  <si>
    <t>TURNO</t>
  </si>
  <si>
    <t>DISCIPLINA</t>
  </si>
  <si>
    <t>PORTUGUÊS</t>
  </si>
  <si>
    <t>CIÊNCIAS</t>
  </si>
  <si>
    <t>AC</t>
  </si>
  <si>
    <t>PAI</t>
  </si>
  <si>
    <t>ATIVA</t>
  </si>
  <si>
    <t>EDUCAÇÃO ARTÍSTICA</t>
  </si>
  <si>
    <t>AL</t>
  </si>
  <si>
    <t>MÃE</t>
  </si>
  <si>
    <t>INATIVA</t>
  </si>
  <si>
    <t>EDUCAÇÃO FÍSICA</t>
  </si>
  <si>
    <t>AP</t>
  </si>
  <si>
    <t>PADRASTO</t>
  </si>
  <si>
    <t>EDUCAÇÃO RELIGIOSA</t>
  </si>
  <si>
    <t>AM</t>
  </si>
  <si>
    <t>MADRASTA</t>
  </si>
  <si>
    <t>FÍSICA QUANTICA</t>
  </si>
  <si>
    <t>BA</t>
  </si>
  <si>
    <t>TIO</t>
  </si>
  <si>
    <t>GEOGRAFIA</t>
  </si>
  <si>
    <t>CE</t>
  </si>
  <si>
    <t>TIA</t>
  </si>
  <si>
    <t>HISTORIA</t>
  </si>
  <si>
    <t>DF</t>
  </si>
  <si>
    <t>AVÓ PATERNA</t>
  </si>
  <si>
    <t>HISTÓRIA CÍVICA</t>
  </si>
  <si>
    <t>ES</t>
  </si>
  <si>
    <t>AVÔ PATERNO</t>
  </si>
  <si>
    <t>MATEMÁTICA</t>
  </si>
  <si>
    <t>GO</t>
  </si>
  <si>
    <t>AVÓ MATERNA</t>
  </si>
  <si>
    <t>MA</t>
  </si>
  <si>
    <t>AVÔ MATERNO</t>
  </si>
  <si>
    <t>QUÍMICA</t>
  </si>
  <si>
    <t>MT</t>
  </si>
  <si>
    <t>PADRINHO</t>
  </si>
  <si>
    <t>MS</t>
  </si>
  <si>
    <t>MADRINHA</t>
  </si>
  <si>
    <t>MG</t>
  </si>
  <si>
    <t>TUTOR</t>
  </si>
  <si>
    <t>PA</t>
  </si>
  <si>
    <t>TUTORA</t>
  </si>
  <si>
    <t>PB</t>
  </si>
  <si>
    <t>IRMÃO</t>
  </si>
  <si>
    <t>PR</t>
  </si>
  <si>
    <t>IRMÃ</t>
  </si>
  <si>
    <t>PE</t>
  </si>
  <si>
    <t>PRIMO</t>
  </si>
  <si>
    <t>PI</t>
  </si>
  <si>
    <t>PRIMA</t>
  </si>
  <si>
    <t>RJ</t>
  </si>
  <si>
    <t>AMIGO</t>
  </si>
  <si>
    <t>RN</t>
  </si>
  <si>
    <t>AMIGA</t>
  </si>
  <si>
    <t>RS</t>
  </si>
  <si>
    <t>RO</t>
  </si>
  <si>
    <t>RR</t>
  </si>
  <si>
    <t>SC</t>
  </si>
  <si>
    <t>SP</t>
  </si>
  <si>
    <t>SE</t>
  </si>
  <si>
    <t>TO</t>
  </si>
  <si>
    <t>pae_db_dev</t>
  </si>
  <si>
    <t>upadrao</t>
  </si>
  <si>
    <t>SERIE</t>
  </si>
  <si>
    <t>PROFESSOR</t>
  </si>
  <si>
    <t>NOME_PROFESSOR</t>
  </si>
  <si>
    <t>DIÁRIO DE NOTAS</t>
  </si>
  <si>
    <t>RC</t>
  </si>
  <si>
    <t>MARIA VICTORIA PIMENTA</t>
  </si>
  <si>
    <t>MAVISANTOS</t>
  </si>
  <si>
    <t>professor</t>
  </si>
  <si>
    <t>RECUPERAÇÃO</t>
  </si>
  <si>
    <t>Recup. SOMA ou SUBST</t>
  </si>
  <si>
    <t>Aprovado</t>
  </si>
  <si>
    <t>Reprovado</t>
  </si>
  <si>
    <t>Em curso</t>
  </si>
  <si>
    <t>APROVADO</t>
  </si>
  <si>
    <t>REPROVADO</t>
  </si>
  <si>
    <t>EM CURSO</t>
  </si>
  <si>
    <t>Recuperação</t>
  </si>
  <si>
    <t>1ºBI</t>
  </si>
  <si>
    <t>2ºBI</t>
  </si>
  <si>
    <t>3ºBI</t>
  </si>
  <si>
    <t>4ºBI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</si>
</sst>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centerContinuous" vertical="center"/>
    </xf>
    <xf numFmtId="0" fontId="0" fillId="2" borderId="5" xfId="0" applyFill="1" applyBorder="1" applyAlignment="1">
      <alignment horizontal="centerContinuous" vertical="center"/>
    </xf>
    <xf numFmtId="0" fontId="0" fillId="2" borderId="4" xfId="0" applyFill="1" applyBorder="1" applyAlignment="1">
      <alignment horizontal="centerContinuous" vertical="center"/>
    </xf>
    <xf numFmtId="0" fontId="0" fillId="2" borderId="6" xfId="0" applyFill="1" applyBorder="1" applyAlignment="1">
      <alignment horizontal="centerContinuous" vertical="center"/>
    </xf>
    <xf numFmtId="0" fontId="0" fillId="0" borderId="7" xfId="0" applyBorder="1" applyAlignment="1">
      <alignment horizontal="centerContinuous" vertical="center"/>
    </xf>
    <xf numFmtId="0" fontId="0" fillId="0" borderId="8" xfId="0" applyBorder="1" applyAlignment="1">
      <alignment horizontal="centerContinuous"/>
    </xf>
    <xf numFmtId="0" fontId="2" fillId="0" borderId="8" xfId="0" applyFont="1" applyBorder="1" applyAlignment="1">
      <alignment horizontal="centerContinuous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9" fontId="0" fillId="0" borderId="0" xfId="1" applyFont="1" applyAlignment="1">
      <alignment vertical="center"/>
    </xf>
    <xf numFmtId="0" fontId="0" fillId="0" borderId="28" xfId="0" applyBorder="1" applyAlignment="1">
      <alignment horizontal="center"/>
    </xf>
    <xf numFmtId="0" fontId="0" fillId="0" borderId="11" xfId="0" applyBorder="1" applyAlignment="1">
      <alignment horizontal="left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29" xfId="0" applyBorder="1"/>
    <xf numFmtId="0" fontId="0" fillId="0" borderId="30" xfId="0" applyBorder="1" applyAlignment="1">
      <alignment horizontal="centerContinuous" vertical="center"/>
    </xf>
    <xf numFmtId="0" fontId="0" fillId="0" borderId="35" xfId="0" applyBorder="1" applyAlignment="1">
      <alignment horizontal="center"/>
    </xf>
    <xf numFmtId="0" fontId="2" fillId="0" borderId="34" xfId="0" applyFont="1" applyBorder="1" applyAlignment="1">
      <alignment horizontal="centerContinuous"/>
    </xf>
    <xf numFmtId="0" fontId="0" fillId="2" borderId="36" xfId="0" applyFill="1" applyBorder="1" applyAlignment="1">
      <alignment horizontal="left" vertical="center"/>
    </xf>
    <xf numFmtId="0" fontId="0" fillId="2" borderId="37" xfId="0" applyFill="1" applyBorder="1" applyAlignment="1">
      <alignment horizontal="left" vertical="center"/>
    </xf>
    <xf numFmtId="0" fontId="0" fillId="2" borderId="38" xfId="0" applyFill="1" applyBorder="1" applyAlignment="1">
      <alignment horizontal="left" vertical="center"/>
    </xf>
    <xf numFmtId="0" fontId="0" fillId="2" borderId="39" xfId="0" applyFill="1" applyBorder="1" applyAlignment="1">
      <alignment horizontal="left" vertical="center"/>
    </xf>
    <xf numFmtId="20" fontId="0" fillId="0" borderId="0" xfId="0" applyNumberFormat="1"/>
    <xf numFmtId="0" fontId="0" fillId="2" borderId="27" xfId="0" applyFill="1" applyBorder="1" applyAlignment="1">
      <alignment horizontal="left" vertical="center"/>
    </xf>
    <xf numFmtId="0" fontId="0" fillId="2" borderId="27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wrapText="1"/>
    </xf>
    <xf numFmtId="0" fontId="0" fillId="0" borderId="40" xfId="0" applyBorder="1" applyAlignment="1">
      <alignment horizontal="center" vertical="center"/>
    </xf>
    <xf numFmtId="0" fontId="0" fillId="2" borderId="40" xfId="0" applyFill="1" applyBorder="1" applyAlignment="1">
      <alignment horizontal="center" vertical="center" wrapText="1"/>
    </xf>
    <xf numFmtId="0" fontId="5" fillId="0" borderId="0" xfId="0" applyFont="1"/>
    <xf numFmtId="0" fontId="4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3" borderId="4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textRotation="90"/>
    </xf>
    <xf numFmtId="0" fontId="0" fillId="0" borderId="27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2" borderId="9" xfId="0" applyFill="1" applyBorder="1" applyAlignment="1">
      <alignment horizontal="center" vertical="center" textRotation="90"/>
    </xf>
    <xf numFmtId="0" fontId="0" fillId="2" borderId="27" xfId="0" applyFill="1" applyBorder="1" applyAlignment="1">
      <alignment horizontal="center" vertical="center" textRotation="90"/>
    </xf>
    <xf numFmtId="0" fontId="0" fillId="2" borderId="10" xfId="0" applyFill="1" applyBorder="1" applyAlignment="1">
      <alignment horizontal="center" vertical="center" textRotation="90"/>
    </xf>
    <xf numFmtId="0" fontId="0" fillId="2" borderId="16" xfId="0" applyFill="1" applyBorder="1" applyAlignment="1">
      <alignment horizontal="center" vertical="center" textRotation="90"/>
    </xf>
    <xf numFmtId="0" fontId="0" fillId="2" borderId="17" xfId="0" applyFill="1" applyBorder="1" applyAlignment="1">
      <alignment horizontal="center" vertical="center" textRotation="90"/>
    </xf>
    <xf numFmtId="0" fontId="0" fillId="2" borderId="1" xfId="0" applyFill="1" applyBorder="1" applyAlignment="1">
      <alignment horizontal="center" vertical="center" textRotation="90"/>
    </xf>
    <xf numFmtId="0" fontId="0" fillId="2" borderId="2" xfId="0" applyFill="1" applyBorder="1" applyAlignment="1">
      <alignment horizontal="center" vertical="center" textRotation="90"/>
    </xf>
    <xf numFmtId="0" fontId="0" fillId="2" borderId="15" xfId="0" applyFill="1" applyBorder="1" applyAlignment="1">
      <alignment horizontal="center" vertical="center" textRotation="90"/>
    </xf>
    <xf numFmtId="0" fontId="0" fillId="2" borderId="12" xfId="0" applyFill="1" applyBorder="1" applyAlignment="1">
      <alignment horizontal="center" vertical="center" textRotation="90"/>
    </xf>
    <xf numFmtId="0" fontId="0" fillId="2" borderId="0" xfId="0" applyFill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27" xfId="0" applyFill="1" applyBorder="1" applyAlignment="1">
      <alignment horizontal="center" vertical="center" textRotation="90"/>
    </xf>
    <xf numFmtId="0" fontId="0" fillId="3" borderId="3" xfId="0" applyFill="1" applyBorder="1" applyAlignment="1">
      <alignment horizontal="center" vertical="center" textRotation="90"/>
    </xf>
    <xf numFmtId="0" fontId="0" fillId="0" borderId="20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0" fontId="0" fillId="0" borderId="26" xfId="0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32" xfId="0" applyBorder="1" applyAlignment="1">
      <alignment vertical="center" textRotation="90"/>
    </xf>
    <xf numFmtId="0" fontId="0" fillId="0" borderId="33" xfId="0" applyBorder="1" applyAlignment="1">
      <alignment vertical="center" textRotation="90"/>
    </xf>
    <xf numFmtId="0" fontId="0" fillId="0" borderId="19" xfId="0" applyBorder="1" applyAlignment="1">
      <alignment horizontal="center" vertical="center" textRotation="90"/>
    </xf>
    <xf numFmtId="0" fontId="0" fillId="0" borderId="22" xfId="0" applyBorder="1" applyAlignment="1">
      <alignment horizontal="center" vertical="center" textRotation="90"/>
    </xf>
    <xf numFmtId="0" fontId="0" fillId="0" borderId="22" xfId="0" applyBorder="1" applyAlignment="1">
      <alignment vertical="center" textRotation="90"/>
    </xf>
    <xf numFmtId="0" fontId="0" fillId="0" borderId="25" xfId="0" applyBorder="1" applyAlignment="1">
      <alignment vertical="center" textRotation="90"/>
    </xf>
    <xf numFmtId="0" fontId="0" fillId="0" borderId="25" xfId="0" applyBorder="1" applyAlignment="1">
      <alignment horizontal="center" vertical="center" textRotation="90"/>
    </xf>
    <xf numFmtId="0" fontId="0" fillId="0" borderId="18" xfId="0" applyBorder="1" applyAlignment="1">
      <alignment horizontal="center" vertical="center" textRotation="90"/>
    </xf>
    <xf numFmtId="0" fontId="0" fillId="0" borderId="21" xfId="0" applyBorder="1" applyAlignment="1">
      <alignment horizontal="center" vertical="center" textRotation="90"/>
    </xf>
    <xf numFmtId="0" fontId="0" fillId="0" borderId="21" xfId="0" applyBorder="1" applyAlignment="1">
      <alignment vertical="center" textRotation="90"/>
    </xf>
    <xf numFmtId="0" fontId="0" fillId="0" borderId="24" xfId="0" applyBorder="1" applyAlignment="1">
      <alignment vertical="center" textRotation="90"/>
    </xf>
  </cellXfs>
  <cellStyles count="2">
    <cellStyle name="Normal" xfId="0" builtinId="0"/>
    <cellStyle name="Porcentagem" xfId="1" builtinId="5"/>
  </cellStyles>
  <dxfs count="10">
    <dxf>
      <font>
        <b/>
        <i val="0"/>
        <color rgb="FFFF0000"/>
      </font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28574</xdr:colOff>
      <xdr:row>0</xdr:row>
      <xdr:rowOff>38100</xdr:rowOff>
    </xdr:from>
    <xdr:to>
      <xdr:col>1</xdr:col>
      <xdr:colOff>2314575</xdr:colOff>
      <xdr:row>0</xdr:row>
      <xdr:rowOff>285750</xdr:rowOff>
    </xdr:to>
    <xdr:sp macro="[0]!selecionar_cel_filtro" textlink="">
      <xdr:nvSpPr>
        <xdr:cNvPr id="2" name="CaixaDeTexto 1">
          <a:extLst>
            <a:ext uri="{FF2B5EF4-FFF2-40B4-BE49-F238E27FC236}">
              <a16:creationId xmlns:a16="http://schemas.microsoft.com/office/drawing/2014/main" id="{94F253D4-559A-F901-1615-6F8315958923}"/>
            </a:ext>
          </a:extLst>
        </xdr:cNvPr>
        <xdr:cNvSpPr txBox="1"/>
      </xdr:nvSpPr>
      <xdr:spPr>
        <a:xfrm>
          <a:off x="923924" y="38100"/>
          <a:ext cx="2286001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100"/>
            <a:t>Click</a:t>
          </a:r>
          <a:r>
            <a:rPr lang="pt-BR" sz="1100" baseline="0"/>
            <a:t> aqui para s</a:t>
          </a:r>
          <a:r>
            <a:rPr lang="pt-BR" sz="1100"/>
            <a:t>elecione uma turma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D2985-F5EC-41AB-A1EB-F2B6482F23FB}">
  <sheetPr codeName="Planilha14"/>
  <dimension ref="A1:A1000"/>
  <sheetViews>
    <sheetView showGridLines="0" showRowColHeaders="0" tabSelected="1" zoomScaleNormal="100" workbookViewId="0">
      <pane xSplit="72" ySplit="131" topLeftCell="BU1000" activePane="bottomRight" state="frozen"/>
      <selection pane="topRight" activeCell="BU1" sqref="BU1"/>
      <selection pane="bottomLeft" activeCell="A132" sqref="A132"/>
      <selection pane="bottomRight" activeCell="A9" sqref="A9"/>
    </sheetView>
  </sheetViews>
  <sheetFormatPr defaultRowHeight="15" x14ac:dyDescent="0.25"/>
  <sheetData>
    <row r="1" spans="1:1" ht="92.25" x14ac:dyDescent="1.35">
      <c r="A1" s="35" t="s">
        <v>88</v>
      </c>
    </row>
    <row r="1000" spans="1:1" x14ac:dyDescent="0.25">
      <c r="A1000" s="39"/>
    </row>
  </sheetData>
  <sheetProtection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C0F86-61D0-48C8-9B45-C4009B17652A}">
  <sheetPr codeName="Planilha1">
    <pageSetUpPr fitToPage="1"/>
  </sheetPr>
  <dimension ref="A1:AF205"/>
  <sheetViews>
    <sheetView showGridLines="0" workbookViewId="0">
      <selection activeCell="A9" sqref="A9"/>
    </sheetView>
  </sheetViews>
  <sheetFormatPr defaultRowHeight="15" x14ac:dyDescent="0.25"/>
  <cols>
    <col min="1" max="1" width="13.42578125" style="1" customWidth="1"/>
    <col min="2" max="2" width="35.42578125" customWidth="1"/>
    <col min="3" max="3" width="5.28515625" style="2" customWidth="1"/>
    <col min="4" max="6" width="5.28515625" style="2" hidden="1" customWidth="1"/>
    <col min="7" max="7" width="5.28515625" style="2" customWidth="1"/>
    <col min="8" max="10" width="5.28515625" style="2" hidden="1" customWidth="1"/>
    <col min="11" max="11" width="5.28515625" style="2" customWidth="1"/>
    <col min="12" max="14" width="5.28515625" style="2" hidden="1" customWidth="1"/>
    <col min="15" max="15" width="5.28515625" style="2" customWidth="1"/>
    <col min="16" max="18" width="5.28515625" style="2" hidden="1" customWidth="1"/>
    <col min="19" max="19" width="5.28515625" style="2" customWidth="1"/>
    <col min="20" max="24" width="5.28515625" customWidth="1"/>
    <col min="25" max="25" width="17.28515625" style="1" customWidth="1"/>
  </cols>
  <sheetData>
    <row r="1" spans="1:32" ht="23.25" customHeight="1" thickBot="1" x14ac:dyDescent="0.3">
      <c r="B1" s="36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1"/>
      <c r="U1" s="31"/>
      <c r="V1" s="31"/>
      <c r="W1" s="31"/>
      <c r="X1" s="31"/>
      <c r="AB1" s="29"/>
      <c r="AC1" s="29"/>
      <c r="AD1" s="29"/>
      <c r="AE1" s="29"/>
      <c r="AF1" s="29"/>
    </row>
    <row r="2" spans="1:32" ht="17.25" customHeight="1" thickTop="1" x14ac:dyDescent="0.25">
      <c r="A2" s="22" t="s">
        <v>18</v>
      </c>
      <c r="B2" s="15" t="e">
        <f>VLOOKUP($B$1,turma!A:F,2,0)</f>
        <v>#N/A</v>
      </c>
      <c r="C2" s="19" t="s">
        <v>102</v>
      </c>
      <c r="D2" s="4"/>
      <c r="E2" s="4"/>
      <c r="F2" s="4"/>
      <c r="G2" s="5" t="s">
        <v>103</v>
      </c>
      <c r="H2" s="6"/>
      <c r="I2" s="6"/>
      <c r="J2" s="7"/>
      <c r="K2" s="4" t="s">
        <v>104</v>
      </c>
      <c r="L2" s="4"/>
      <c r="M2" s="4"/>
      <c r="N2" s="4"/>
      <c r="O2" s="5" t="s">
        <v>105</v>
      </c>
      <c r="P2" s="6"/>
      <c r="Q2" s="6"/>
      <c r="R2" s="7"/>
      <c r="S2" s="40" t="s">
        <v>89</v>
      </c>
      <c r="T2" s="8" t="s">
        <v>6</v>
      </c>
      <c r="U2" s="9"/>
      <c r="V2" s="9"/>
      <c r="W2" s="10"/>
      <c r="X2" s="21"/>
    </row>
    <row r="3" spans="1:32" ht="20.25" customHeight="1" x14ac:dyDescent="0.25">
      <c r="A3" s="23" t="s">
        <v>19</v>
      </c>
      <c r="B3" s="16" t="e">
        <f>VLOOKUP($B$1,turma!A:F,4,0)</f>
        <v>#N/A</v>
      </c>
      <c r="C3" s="60">
        <f>config!$F$2</f>
        <v>0</v>
      </c>
      <c r="D3" s="64">
        <f>config!$G$2</f>
        <v>0</v>
      </c>
      <c r="E3" s="64">
        <f>config!$H$2</f>
        <v>0</v>
      </c>
      <c r="F3" s="57">
        <f>config!$I$2</f>
        <v>0</v>
      </c>
      <c r="G3" s="46">
        <f>config!$F$2</f>
        <v>0</v>
      </c>
      <c r="H3" s="46">
        <f>config!$G$2</f>
        <v>0</v>
      </c>
      <c r="I3" s="46">
        <f>config!$H$2</f>
        <v>0</v>
      </c>
      <c r="J3" s="46">
        <f>config!$I$2</f>
        <v>0</v>
      </c>
      <c r="K3" s="69">
        <f>config!$F$2</f>
        <v>0</v>
      </c>
      <c r="L3" s="64">
        <f>config!$G$2</f>
        <v>0</v>
      </c>
      <c r="M3" s="64">
        <f>config!$H$2</f>
        <v>0</v>
      </c>
      <c r="N3" s="57">
        <f>config!$I$2</f>
        <v>0</v>
      </c>
      <c r="O3" s="46">
        <f>config!$F$2</f>
        <v>0</v>
      </c>
      <c r="P3" s="46">
        <f>config!$G$2</f>
        <v>0</v>
      </c>
      <c r="Q3" s="46">
        <f>config!$H$2</f>
        <v>0</v>
      </c>
      <c r="R3" s="49">
        <f>config!$I$2</f>
        <v>0</v>
      </c>
      <c r="S3" s="54" t="s">
        <v>93</v>
      </c>
      <c r="T3" s="41" t="s">
        <v>0</v>
      </c>
      <c r="U3" s="52" t="s">
        <v>3</v>
      </c>
      <c r="V3" s="41" t="s">
        <v>4</v>
      </c>
      <c r="W3" s="44" t="s">
        <v>5</v>
      </c>
      <c r="X3" s="41" t="s">
        <v>7</v>
      </c>
    </row>
    <row r="4" spans="1:32" ht="20.25" customHeight="1" x14ac:dyDescent="0.25">
      <c r="A4" s="25" t="s">
        <v>21</v>
      </c>
      <c r="B4" s="16" t="e">
        <f>VLOOKUP($B$1,turma!A:F,3,0)</f>
        <v>#N/A</v>
      </c>
      <c r="C4" s="61"/>
      <c r="D4" s="65"/>
      <c r="E4" s="65"/>
      <c r="F4" s="58"/>
      <c r="G4" s="47"/>
      <c r="H4" s="47"/>
      <c r="I4" s="47"/>
      <c r="J4" s="47"/>
      <c r="K4" s="70"/>
      <c r="L4" s="65"/>
      <c r="M4" s="65"/>
      <c r="N4" s="58"/>
      <c r="O4" s="47"/>
      <c r="P4" s="47"/>
      <c r="Q4" s="47"/>
      <c r="R4" s="50"/>
      <c r="S4" s="55"/>
      <c r="T4" s="42"/>
      <c r="U4" s="53"/>
      <c r="V4" s="42"/>
      <c r="W4" s="45"/>
      <c r="X4" s="42"/>
    </row>
    <row r="5" spans="1:32" ht="20.25" customHeight="1" x14ac:dyDescent="0.25">
      <c r="A5" s="25" t="s">
        <v>20</v>
      </c>
      <c r="B5" s="16" t="e">
        <f>VLOOKUP($B$1,turma!A:F,5,0)</f>
        <v>#N/A</v>
      </c>
      <c r="C5" s="61"/>
      <c r="D5" s="65"/>
      <c r="E5" s="65"/>
      <c r="F5" s="58"/>
      <c r="G5" s="47"/>
      <c r="H5" s="47"/>
      <c r="I5" s="47"/>
      <c r="J5" s="47"/>
      <c r="K5" s="70"/>
      <c r="L5" s="65"/>
      <c r="M5" s="65"/>
      <c r="N5" s="58"/>
      <c r="O5" s="47"/>
      <c r="P5" s="47"/>
      <c r="Q5" s="47"/>
      <c r="R5" s="50"/>
      <c r="S5" s="55"/>
      <c r="T5" s="42"/>
      <c r="U5" s="53"/>
      <c r="V5" s="42"/>
      <c r="W5" s="45"/>
      <c r="X5" s="42"/>
    </row>
    <row r="6" spans="1:32" ht="20.25" customHeight="1" x14ac:dyDescent="0.25">
      <c r="A6" s="24" t="s">
        <v>22</v>
      </c>
      <c r="B6" s="17" t="e">
        <f>VLOOKUP($B$1,turma!A:F,6,0)</f>
        <v>#N/A</v>
      </c>
      <c r="C6" s="62"/>
      <c r="D6" s="66"/>
      <c r="E6" s="65"/>
      <c r="F6" s="58"/>
      <c r="G6" s="47"/>
      <c r="H6" s="47"/>
      <c r="I6" s="47"/>
      <c r="J6" s="47"/>
      <c r="K6" s="71"/>
      <c r="L6" s="66"/>
      <c r="M6" s="65"/>
      <c r="N6" s="58"/>
      <c r="O6" s="47"/>
      <c r="P6" s="47"/>
      <c r="Q6" s="47"/>
      <c r="R6" s="50"/>
      <c r="S6" s="55"/>
      <c r="T6" s="42"/>
      <c r="U6" s="53"/>
      <c r="V6" s="42"/>
      <c r="W6" s="45"/>
      <c r="X6" s="42"/>
    </row>
    <row r="7" spans="1:32" x14ac:dyDescent="0.25">
      <c r="C7" s="62"/>
      <c r="D7" s="66"/>
      <c r="E7" s="65"/>
      <c r="F7" s="58"/>
      <c r="G7" s="47"/>
      <c r="H7" s="47"/>
      <c r="I7" s="47"/>
      <c r="J7" s="47"/>
      <c r="K7" s="71"/>
      <c r="L7" s="66"/>
      <c r="M7" s="65"/>
      <c r="N7" s="58"/>
      <c r="O7" s="47"/>
      <c r="P7" s="47"/>
      <c r="Q7" s="47"/>
      <c r="R7" s="50"/>
      <c r="S7" s="55"/>
      <c r="T7" s="42"/>
      <c r="U7" s="53"/>
      <c r="V7" s="42"/>
      <c r="W7" s="45"/>
      <c r="X7" s="42"/>
    </row>
    <row r="8" spans="1:32" x14ac:dyDescent="0.25">
      <c r="A8" s="14" t="s">
        <v>1</v>
      </c>
      <c r="B8" s="18" t="s">
        <v>2</v>
      </c>
      <c r="C8" s="63"/>
      <c r="D8" s="67"/>
      <c r="E8" s="68"/>
      <c r="F8" s="59"/>
      <c r="G8" s="48"/>
      <c r="H8" s="48"/>
      <c r="I8" s="48"/>
      <c r="J8" s="48"/>
      <c r="K8" s="72"/>
      <c r="L8" s="67"/>
      <c r="M8" s="68"/>
      <c r="N8" s="59"/>
      <c r="O8" s="48"/>
      <c r="P8" s="48"/>
      <c r="Q8" s="48"/>
      <c r="R8" s="51"/>
      <c r="S8" s="56"/>
      <c r="T8" s="43"/>
      <c r="U8" s="53"/>
      <c r="V8" s="43"/>
      <c r="W8" s="45"/>
      <c r="X8" s="43"/>
      <c r="Y8" s="20" t="s">
        <v>10</v>
      </c>
    </row>
    <row r="9" spans="1:32" s="11" customFormat="1" ht="20.100000000000001" customHeight="1" x14ac:dyDescent="0.25">
      <c r="A9" s="2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12" t="str">
        <f t="shared" ref="T9:T40" si="0">IF(AND(SUM(C9:F9)&gt;0,A9&lt;&gt;""),ROUND(IF(media_bi="MÉDIA",AVERAGE(C9:F9),SUM(C9:F9)),1),"")</f>
        <v/>
      </c>
      <c r="U9" s="12" t="str">
        <f t="shared" ref="U9:U40" si="1">IF(AND(SUM(G9:J9)&gt;0,A9&lt;&gt;""),ROUND(IF(media_bi="MÉDIA",AVERAGE(G9:J9),SUM(G9:J9)),1),"")</f>
        <v/>
      </c>
      <c r="V9" s="12" t="str">
        <f t="shared" ref="V9:V40" si="2">IF(AND(SUM(K9:N9)&gt;0,A9&lt;&gt;""),ROUND(IF(media_bi="MÉDIA",AVERAGE(K9:N9),SUM(K9:N9)),1),"")</f>
        <v/>
      </c>
      <c r="W9" s="12" t="str">
        <f t="shared" ref="W9:W40" si="3">IF(AND(SUM(O9:R9)&gt;0,A9&lt;&gt;""),ROUND(IF(media_bi="MÉDIA",AVERAGE(O9:R9),SUM(O9:R9)),1),"")</f>
        <v/>
      </c>
      <c r="X9" s="12" t="str">
        <f>IF(AND(SUM(T9:W9)&gt;0,A9&lt;&gt;""),IF(S9&lt;&gt;"",IF(recup="SUBST",IF($S9&gt;ROUND(IF(media_final="MÉDIA",AVERAGE(T9:W9),SUM(T9:W9)),1),$S9,ROUND(IF(media_final="MÉDIA",AVERAGE(T9:W9),SUM(T9:W9)),1)),$S9+ROUND(IF(media_final="MÉDIA",AVERAGE(T9:W9),SUM(T9:W9)),1)),ROUND(IF(media_final="MÉDIA",AVERAGE(T9:W9),SUM(T9:W9)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Y9" s="2" t="str">
        <f t="shared" ref="Y9:Y40" si="4">IF(A9&lt;&gt;"",IF(COUNT(T9:W9)&lt;avaliacoes_bi,termo_cursando,IF(X9&gt;=meta_aprov,termo_aprovado,IF(X9&lt;meta_recup,termo_reprovado,IF(S9="",termo_recup,termo_reprovado)))),"")</f>
        <v/>
      </c>
      <c r="Z9" s="13"/>
    </row>
    <row r="10" spans="1:32" s="11" customFormat="1" ht="20.100000000000001" customHeight="1" x14ac:dyDescent="0.25">
      <c r="A10" s="2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12" t="str">
        <f t="shared" si="0"/>
        <v/>
      </c>
      <c r="U10" s="12" t="str">
        <f t="shared" si="1"/>
        <v/>
      </c>
      <c r="V10" s="12" t="str">
        <f t="shared" si="2"/>
        <v/>
      </c>
      <c r="W10" s="12" t="str">
        <f t="shared" si="3"/>
        <v/>
      </c>
      <c r="X10" s="12" t="str">
        <f t="shared" ref="X10:X41" si="5">IF(AND(SUM(T10:W10)&gt;0,A10&lt;&gt;""),IF(S10&lt;&gt;"",IF(recup="SUBST",IF($S10&gt;ROUND(IF(media_final="MÉDIA",AVERAGE(T10:W10),SUM(T10:W10)),1),$S10,ROUND(IF(media_final="MÉDIA",AVERAGE(T10:W10),SUM(T10:W10)),1)),$S10+ROUND(IF(media_final="MÉDIA",AVERAGE(T10:W10),SUM(T10:W10)),1)),ROUND(IF(media_final="MÉDIA",AVERAGE(T10:W10),SUM(T10:W10)),1)),"")</f>
        <v/>
      </c>
      <c r="Y10" s="2" t="str">
        <f t="shared" si="4"/>
        <v/>
      </c>
    </row>
    <row r="11" spans="1:32" s="11" customFormat="1" ht="20.100000000000001" customHeight="1" x14ac:dyDescent="0.25">
      <c r="A11" s="2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12" t="str">
        <f t="shared" si="0"/>
        <v/>
      </c>
      <c r="U11" s="12" t="str">
        <f t="shared" si="1"/>
        <v/>
      </c>
      <c r="V11" s="12" t="str">
        <f t="shared" si="2"/>
        <v/>
      </c>
      <c r="W11" s="12" t="str">
        <f t="shared" si="3"/>
        <v/>
      </c>
      <c r="X11" s="12" t="str">
        <f t="shared" si="5"/>
        <v/>
      </c>
      <c r="Y11" s="2" t="str">
        <f t="shared" si="4"/>
        <v/>
      </c>
    </row>
    <row r="12" spans="1:32" s="11" customFormat="1" ht="20.100000000000001" customHeight="1" x14ac:dyDescent="0.25">
      <c r="A12" s="2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12" t="str">
        <f t="shared" si="0"/>
        <v/>
      </c>
      <c r="U12" s="12" t="str">
        <f t="shared" si="1"/>
        <v/>
      </c>
      <c r="V12" s="12" t="str">
        <f t="shared" si="2"/>
        <v/>
      </c>
      <c r="W12" s="12" t="str">
        <f t="shared" si="3"/>
        <v/>
      </c>
      <c r="X12" s="12" t="str">
        <f t="shared" si="5"/>
        <v/>
      </c>
      <c r="Y12" s="2" t="str">
        <f t="shared" si="4"/>
        <v/>
      </c>
    </row>
    <row r="13" spans="1:32" s="11" customFormat="1" ht="20.100000000000001" customHeight="1" x14ac:dyDescent="0.25">
      <c r="A13" s="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12" t="str">
        <f t="shared" si="0"/>
        <v/>
      </c>
      <c r="U13" s="12" t="str">
        <f t="shared" si="1"/>
        <v/>
      </c>
      <c r="V13" s="12" t="str">
        <f t="shared" si="2"/>
        <v/>
      </c>
      <c r="W13" s="12" t="str">
        <f t="shared" si="3"/>
        <v/>
      </c>
      <c r="X13" s="12" t="str">
        <f t="shared" si="5"/>
        <v/>
      </c>
      <c r="Y13" s="2" t="str">
        <f t="shared" si="4"/>
        <v/>
      </c>
    </row>
    <row r="14" spans="1:32" s="11" customFormat="1" ht="20.100000000000001" customHeight="1" x14ac:dyDescent="0.25">
      <c r="A14" s="2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12" t="str">
        <f t="shared" si="0"/>
        <v/>
      </c>
      <c r="U14" s="12" t="str">
        <f t="shared" si="1"/>
        <v/>
      </c>
      <c r="V14" s="12" t="str">
        <f t="shared" si="2"/>
        <v/>
      </c>
      <c r="W14" s="12" t="str">
        <f t="shared" si="3"/>
        <v/>
      </c>
      <c r="X14" s="12" t="str">
        <f t="shared" si="5"/>
        <v/>
      </c>
      <c r="Y14" s="2" t="str">
        <f t="shared" si="4"/>
        <v/>
      </c>
    </row>
    <row r="15" spans="1:32" s="11" customFormat="1" ht="20.100000000000001" customHeight="1" x14ac:dyDescent="0.25">
      <c r="A15" s="2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12" t="str">
        <f t="shared" si="0"/>
        <v/>
      </c>
      <c r="U15" s="12" t="str">
        <f t="shared" si="1"/>
        <v/>
      </c>
      <c r="V15" s="12" t="str">
        <f t="shared" si="2"/>
        <v/>
      </c>
      <c r="W15" s="12" t="str">
        <f t="shared" si="3"/>
        <v/>
      </c>
      <c r="X15" s="12" t="str">
        <f t="shared" si="5"/>
        <v/>
      </c>
      <c r="Y15" s="2" t="str">
        <f t="shared" si="4"/>
        <v/>
      </c>
    </row>
    <row r="16" spans="1:32" s="11" customFormat="1" ht="20.100000000000001" customHeight="1" x14ac:dyDescent="0.25">
      <c r="A16" s="2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12" t="str">
        <f t="shared" si="0"/>
        <v/>
      </c>
      <c r="U16" s="12" t="str">
        <f t="shared" si="1"/>
        <v/>
      </c>
      <c r="V16" s="12" t="str">
        <f t="shared" si="2"/>
        <v/>
      </c>
      <c r="W16" s="12" t="str">
        <f t="shared" si="3"/>
        <v/>
      </c>
      <c r="X16" s="12" t="str">
        <f t="shared" si="5"/>
        <v/>
      </c>
      <c r="Y16" s="2" t="str">
        <f t="shared" si="4"/>
        <v/>
      </c>
    </row>
    <row r="17" spans="1:25" s="11" customFormat="1" ht="20.100000000000001" customHeight="1" x14ac:dyDescent="0.25">
      <c r="A17" s="2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12" t="str">
        <f t="shared" si="0"/>
        <v/>
      </c>
      <c r="U17" s="12" t="str">
        <f t="shared" si="1"/>
        <v/>
      </c>
      <c r="V17" s="12" t="str">
        <f t="shared" si="2"/>
        <v/>
      </c>
      <c r="W17" s="12" t="str">
        <f t="shared" si="3"/>
        <v/>
      </c>
      <c r="X17" s="12" t="str">
        <f t="shared" si="5"/>
        <v/>
      </c>
      <c r="Y17" s="2" t="str">
        <f t="shared" si="4"/>
        <v/>
      </c>
    </row>
    <row r="18" spans="1:25" s="11" customFormat="1" ht="20.100000000000001" customHeight="1" x14ac:dyDescent="0.25">
      <c r="A18" s="2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12" t="str">
        <f t="shared" si="0"/>
        <v/>
      </c>
      <c r="U18" s="12" t="str">
        <f t="shared" si="1"/>
        <v/>
      </c>
      <c r="V18" s="12" t="str">
        <f t="shared" si="2"/>
        <v/>
      </c>
      <c r="W18" s="12" t="str">
        <f t="shared" si="3"/>
        <v/>
      </c>
      <c r="X18" s="12" t="str">
        <f t="shared" si="5"/>
        <v/>
      </c>
      <c r="Y18" s="2" t="str">
        <f t="shared" si="4"/>
        <v/>
      </c>
    </row>
    <row r="19" spans="1:25" s="11" customFormat="1" ht="20.100000000000001" customHeight="1" x14ac:dyDescent="0.25">
      <c r="A19" s="2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12" t="str">
        <f t="shared" si="0"/>
        <v/>
      </c>
      <c r="U19" s="12" t="str">
        <f t="shared" si="1"/>
        <v/>
      </c>
      <c r="V19" s="12" t="str">
        <f t="shared" si="2"/>
        <v/>
      </c>
      <c r="W19" s="12" t="str">
        <f t="shared" si="3"/>
        <v/>
      </c>
      <c r="X19" s="12" t="str">
        <f t="shared" si="5"/>
        <v/>
      </c>
      <c r="Y19" s="2" t="str">
        <f t="shared" si="4"/>
        <v/>
      </c>
    </row>
    <row r="20" spans="1:25" s="11" customFormat="1" ht="20.100000000000001" customHeight="1" x14ac:dyDescent="0.25">
      <c r="A20" s="2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12" t="str">
        <f t="shared" si="0"/>
        <v/>
      </c>
      <c r="U20" s="12" t="str">
        <f t="shared" si="1"/>
        <v/>
      </c>
      <c r="V20" s="12" t="str">
        <f t="shared" si="2"/>
        <v/>
      </c>
      <c r="W20" s="12" t="str">
        <f t="shared" si="3"/>
        <v/>
      </c>
      <c r="X20" s="12" t="str">
        <f t="shared" si="5"/>
        <v/>
      </c>
      <c r="Y20" s="2" t="str">
        <f t="shared" si="4"/>
        <v/>
      </c>
    </row>
    <row r="21" spans="1:25" s="11" customFormat="1" ht="20.100000000000001" customHeight="1" x14ac:dyDescent="0.25">
      <c r="A21" s="2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12" t="str">
        <f t="shared" si="0"/>
        <v/>
      </c>
      <c r="U21" s="12" t="str">
        <f t="shared" si="1"/>
        <v/>
      </c>
      <c r="V21" s="12" t="str">
        <f t="shared" si="2"/>
        <v/>
      </c>
      <c r="W21" s="12" t="str">
        <f t="shared" si="3"/>
        <v/>
      </c>
      <c r="X21" s="12" t="str">
        <f t="shared" si="5"/>
        <v/>
      </c>
      <c r="Y21" s="2" t="str">
        <f t="shared" si="4"/>
        <v/>
      </c>
    </row>
    <row r="22" spans="1:25" s="11" customFormat="1" ht="20.100000000000001" customHeight="1" x14ac:dyDescent="0.25">
      <c r="A22" s="2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12" t="str">
        <f t="shared" si="0"/>
        <v/>
      </c>
      <c r="U22" s="12" t="str">
        <f t="shared" si="1"/>
        <v/>
      </c>
      <c r="V22" s="12" t="str">
        <f t="shared" si="2"/>
        <v/>
      </c>
      <c r="W22" s="12" t="str">
        <f t="shared" si="3"/>
        <v/>
      </c>
      <c r="X22" s="12" t="str">
        <f t="shared" si="5"/>
        <v/>
      </c>
      <c r="Y22" s="2" t="str">
        <f t="shared" si="4"/>
        <v/>
      </c>
    </row>
    <row r="23" spans="1:25" s="11" customFormat="1" ht="20.100000000000001" customHeight="1" x14ac:dyDescent="0.25">
      <c r="A23" s="2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12" t="str">
        <f t="shared" si="0"/>
        <v/>
      </c>
      <c r="U23" s="12" t="str">
        <f t="shared" si="1"/>
        <v/>
      </c>
      <c r="V23" s="12" t="str">
        <f t="shared" si="2"/>
        <v/>
      </c>
      <c r="W23" s="12" t="str">
        <f t="shared" si="3"/>
        <v/>
      </c>
      <c r="X23" s="12" t="str">
        <f t="shared" si="5"/>
        <v/>
      </c>
      <c r="Y23" s="2" t="str">
        <f t="shared" si="4"/>
        <v/>
      </c>
    </row>
    <row r="24" spans="1:25" s="11" customFormat="1" ht="20.100000000000001" customHeight="1" x14ac:dyDescent="0.25">
      <c r="A24" s="2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12" t="str">
        <f t="shared" si="0"/>
        <v/>
      </c>
      <c r="U24" s="12" t="str">
        <f t="shared" si="1"/>
        <v/>
      </c>
      <c r="V24" s="12" t="str">
        <f t="shared" si="2"/>
        <v/>
      </c>
      <c r="W24" s="12" t="str">
        <f t="shared" si="3"/>
        <v/>
      </c>
      <c r="X24" s="12" t="str">
        <f t="shared" si="5"/>
        <v/>
      </c>
      <c r="Y24" s="2" t="str">
        <f t="shared" si="4"/>
        <v/>
      </c>
    </row>
    <row r="25" spans="1:25" s="11" customFormat="1" ht="20.100000000000001" customHeight="1" x14ac:dyDescent="0.25">
      <c r="A25" s="2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12" t="str">
        <f t="shared" si="0"/>
        <v/>
      </c>
      <c r="U25" s="12" t="str">
        <f t="shared" si="1"/>
        <v/>
      </c>
      <c r="V25" s="12" t="str">
        <f t="shared" si="2"/>
        <v/>
      </c>
      <c r="W25" s="12" t="str">
        <f t="shared" si="3"/>
        <v/>
      </c>
      <c r="X25" s="12" t="str">
        <f t="shared" si="5"/>
        <v/>
      </c>
      <c r="Y25" s="2" t="str">
        <f t="shared" si="4"/>
        <v/>
      </c>
    </row>
    <row r="26" spans="1:25" s="11" customFormat="1" ht="20.100000000000001" customHeight="1" x14ac:dyDescent="0.25">
      <c r="A26" s="2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12" t="str">
        <f t="shared" si="0"/>
        <v/>
      </c>
      <c r="U26" s="12" t="str">
        <f t="shared" si="1"/>
        <v/>
      </c>
      <c r="V26" s="12" t="str">
        <f t="shared" si="2"/>
        <v/>
      </c>
      <c r="W26" s="12" t="str">
        <f t="shared" si="3"/>
        <v/>
      </c>
      <c r="X26" s="12" t="str">
        <f t="shared" si="5"/>
        <v/>
      </c>
      <c r="Y26" s="2" t="str">
        <f t="shared" si="4"/>
        <v/>
      </c>
    </row>
    <row r="27" spans="1:25" s="11" customFormat="1" ht="20.100000000000001" customHeight="1" x14ac:dyDescent="0.25">
      <c r="A27" s="2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12" t="str">
        <f t="shared" si="0"/>
        <v/>
      </c>
      <c r="U27" s="12" t="str">
        <f t="shared" si="1"/>
        <v/>
      </c>
      <c r="V27" s="12" t="str">
        <f t="shared" si="2"/>
        <v/>
      </c>
      <c r="W27" s="12" t="str">
        <f t="shared" si="3"/>
        <v/>
      </c>
      <c r="X27" s="12" t="str">
        <f t="shared" si="5"/>
        <v/>
      </c>
      <c r="Y27" s="2" t="str">
        <f t="shared" si="4"/>
        <v/>
      </c>
    </row>
    <row r="28" spans="1:25" s="11" customFormat="1" ht="20.100000000000001" customHeight="1" x14ac:dyDescent="0.25">
      <c r="A28" s="2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12" t="str">
        <f t="shared" si="0"/>
        <v/>
      </c>
      <c r="U28" s="12" t="str">
        <f t="shared" si="1"/>
        <v/>
      </c>
      <c r="V28" s="12" t="str">
        <f t="shared" si="2"/>
        <v/>
      </c>
      <c r="W28" s="12" t="str">
        <f t="shared" si="3"/>
        <v/>
      </c>
      <c r="X28" s="12" t="str">
        <f t="shared" si="5"/>
        <v/>
      </c>
      <c r="Y28" s="2" t="str">
        <f t="shared" si="4"/>
        <v/>
      </c>
    </row>
    <row r="29" spans="1:25" s="11" customFormat="1" ht="20.100000000000001" customHeight="1" x14ac:dyDescent="0.25">
      <c r="A29" s="2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12" t="str">
        <f t="shared" si="0"/>
        <v/>
      </c>
      <c r="U29" s="12" t="str">
        <f t="shared" si="1"/>
        <v/>
      </c>
      <c r="V29" s="12" t="str">
        <f t="shared" si="2"/>
        <v/>
      </c>
      <c r="W29" s="12" t="str">
        <f t="shared" si="3"/>
        <v/>
      </c>
      <c r="X29" s="12" t="str">
        <f t="shared" si="5"/>
        <v/>
      </c>
      <c r="Y29" s="2" t="str">
        <f t="shared" si="4"/>
        <v/>
      </c>
    </row>
    <row r="30" spans="1:25" s="11" customFormat="1" ht="20.100000000000001" customHeight="1" x14ac:dyDescent="0.25">
      <c r="A30" s="2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12" t="str">
        <f t="shared" si="0"/>
        <v/>
      </c>
      <c r="U30" s="12" t="str">
        <f t="shared" si="1"/>
        <v/>
      </c>
      <c r="V30" s="12" t="str">
        <f t="shared" si="2"/>
        <v/>
      </c>
      <c r="W30" s="12" t="str">
        <f t="shared" si="3"/>
        <v/>
      </c>
      <c r="X30" s="12" t="str">
        <f t="shared" si="5"/>
        <v/>
      </c>
      <c r="Y30" s="2" t="str">
        <f t="shared" si="4"/>
        <v/>
      </c>
    </row>
    <row r="31" spans="1:25" s="11" customFormat="1" ht="20.100000000000001" customHeight="1" x14ac:dyDescent="0.25">
      <c r="A31" s="2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12" t="str">
        <f t="shared" si="0"/>
        <v/>
      </c>
      <c r="U31" s="12" t="str">
        <f t="shared" si="1"/>
        <v/>
      </c>
      <c r="V31" s="12" t="str">
        <f t="shared" si="2"/>
        <v/>
      </c>
      <c r="W31" s="12" t="str">
        <f t="shared" si="3"/>
        <v/>
      </c>
      <c r="X31" s="12" t="str">
        <f t="shared" si="5"/>
        <v/>
      </c>
      <c r="Y31" s="2" t="str">
        <f t="shared" si="4"/>
        <v/>
      </c>
    </row>
    <row r="32" spans="1:25" s="11" customFormat="1" ht="20.100000000000001" customHeight="1" x14ac:dyDescent="0.25">
      <c r="A32" s="2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12" t="str">
        <f t="shared" si="0"/>
        <v/>
      </c>
      <c r="U32" s="12" t="str">
        <f t="shared" si="1"/>
        <v/>
      </c>
      <c r="V32" s="12" t="str">
        <f t="shared" si="2"/>
        <v/>
      </c>
      <c r="W32" s="12" t="str">
        <f t="shared" si="3"/>
        <v/>
      </c>
      <c r="X32" s="12" t="str">
        <f t="shared" si="5"/>
        <v/>
      </c>
      <c r="Y32" s="2" t="str">
        <f t="shared" si="4"/>
        <v/>
      </c>
    </row>
    <row r="33" spans="1:25" s="11" customFormat="1" ht="20.100000000000001" customHeight="1" x14ac:dyDescent="0.25">
      <c r="A33" s="2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12" t="str">
        <f t="shared" si="0"/>
        <v/>
      </c>
      <c r="U33" s="12" t="str">
        <f t="shared" si="1"/>
        <v/>
      </c>
      <c r="V33" s="12" t="str">
        <f t="shared" si="2"/>
        <v/>
      </c>
      <c r="W33" s="12" t="str">
        <f t="shared" si="3"/>
        <v/>
      </c>
      <c r="X33" s="12" t="str">
        <f t="shared" si="5"/>
        <v/>
      </c>
      <c r="Y33" s="2" t="str">
        <f t="shared" si="4"/>
        <v/>
      </c>
    </row>
    <row r="34" spans="1:25" s="11" customFormat="1" ht="20.100000000000001" customHeight="1" x14ac:dyDescent="0.25">
      <c r="A34" s="2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12" t="str">
        <f t="shared" si="0"/>
        <v/>
      </c>
      <c r="U34" s="12" t="str">
        <f t="shared" si="1"/>
        <v/>
      </c>
      <c r="V34" s="12" t="str">
        <f t="shared" si="2"/>
        <v/>
      </c>
      <c r="W34" s="12" t="str">
        <f t="shared" si="3"/>
        <v/>
      </c>
      <c r="X34" s="12" t="str">
        <f t="shared" si="5"/>
        <v/>
      </c>
      <c r="Y34" s="2" t="str">
        <f t="shared" si="4"/>
        <v/>
      </c>
    </row>
    <row r="35" spans="1:25" s="11" customFormat="1" ht="20.100000000000001" customHeight="1" x14ac:dyDescent="0.25">
      <c r="A35" s="2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12" t="str">
        <f t="shared" si="0"/>
        <v/>
      </c>
      <c r="U35" s="12" t="str">
        <f t="shared" si="1"/>
        <v/>
      </c>
      <c r="V35" s="12" t="str">
        <f t="shared" si="2"/>
        <v/>
      </c>
      <c r="W35" s="12" t="str">
        <f t="shared" si="3"/>
        <v/>
      </c>
      <c r="X35" s="12" t="str">
        <f t="shared" si="5"/>
        <v/>
      </c>
      <c r="Y35" s="2" t="str">
        <f t="shared" si="4"/>
        <v/>
      </c>
    </row>
    <row r="36" spans="1:25" s="11" customFormat="1" ht="20.100000000000001" customHeight="1" x14ac:dyDescent="0.25">
      <c r="A36" s="2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12" t="str">
        <f t="shared" si="0"/>
        <v/>
      </c>
      <c r="U36" s="12" t="str">
        <f t="shared" si="1"/>
        <v/>
      </c>
      <c r="V36" s="12" t="str">
        <f t="shared" si="2"/>
        <v/>
      </c>
      <c r="W36" s="12" t="str">
        <f t="shared" si="3"/>
        <v/>
      </c>
      <c r="X36" s="12" t="str">
        <f t="shared" si="5"/>
        <v/>
      </c>
      <c r="Y36" s="2" t="str">
        <f t="shared" si="4"/>
        <v/>
      </c>
    </row>
    <row r="37" spans="1:25" s="11" customFormat="1" ht="20.100000000000001" customHeight="1" x14ac:dyDescent="0.25">
      <c r="A37" s="2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12" t="str">
        <f t="shared" si="0"/>
        <v/>
      </c>
      <c r="U37" s="12" t="str">
        <f t="shared" si="1"/>
        <v/>
      </c>
      <c r="V37" s="12" t="str">
        <f t="shared" si="2"/>
        <v/>
      </c>
      <c r="W37" s="12" t="str">
        <f t="shared" si="3"/>
        <v/>
      </c>
      <c r="X37" s="12" t="str">
        <f t="shared" si="5"/>
        <v/>
      </c>
      <c r="Y37" s="2" t="str">
        <f t="shared" si="4"/>
        <v/>
      </c>
    </row>
    <row r="38" spans="1:25" s="11" customFormat="1" ht="20.100000000000001" customHeight="1" x14ac:dyDescent="0.25">
      <c r="A38" s="2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12" t="str">
        <f t="shared" si="0"/>
        <v/>
      </c>
      <c r="U38" s="12" t="str">
        <f t="shared" si="1"/>
        <v/>
      </c>
      <c r="V38" s="12" t="str">
        <f t="shared" si="2"/>
        <v/>
      </c>
      <c r="W38" s="12" t="str">
        <f t="shared" si="3"/>
        <v/>
      </c>
      <c r="X38" s="12" t="str">
        <f t="shared" si="5"/>
        <v/>
      </c>
      <c r="Y38" s="2" t="str">
        <f t="shared" si="4"/>
        <v/>
      </c>
    </row>
    <row r="39" spans="1:25" s="11" customFormat="1" ht="20.100000000000001" customHeight="1" x14ac:dyDescent="0.25">
      <c r="A39" s="2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12" t="str">
        <f t="shared" si="0"/>
        <v/>
      </c>
      <c r="U39" s="12" t="str">
        <f t="shared" si="1"/>
        <v/>
      </c>
      <c r="V39" s="12" t="str">
        <f t="shared" si="2"/>
        <v/>
      </c>
      <c r="W39" s="12" t="str">
        <f t="shared" si="3"/>
        <v/>
      </c>
      <c r="X39" s="12" t="str">
        <f t="shared" si="5"/>
        <v/>
      </c>
      <c r="Y39" s="2" t="str">
        <f t="shared" si="4"/>
        <v/>
      </c>
    </row>
    <row r="40" spans="1:25" s="11" customFormat="1" ht="20.100000000000001" customHeight="1" x14ac:dyDescent="0.25">
      <c r="A40" s="2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12" t="str">
        <f t="shared" si="0"/>
        <v/>
      </c>
      <c r="U40" s="12" t="str">
        <f t="shared" si="1"/>
        <v/>
      </c>
      <c r="V40" s="12" t="str">
        <f t="shared" si="2"/>
        <v/>
      </c>
      <c r="W40" s="12" t="str">
        <f t="shared" si="3"/>
        <v/>
      </c>
      <c r="X40" s="12" t="str">
        <f t="shared" si="5"/>
        <v/>
      </c>
      <c r="Y40" s="2" t="str">
        <f t="shared" si="4"/>
        <v/>
      </c>
    </row>
    <row r="41" spans="1:25" s="11" customFormat="1" ht="20.100000000000001" customHeight="1" x14ac:dyDescent="0.25">
      <c r="A41" s="2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12" t="str">
        <f t="shared" ref="T41:T72" si="6">IF(AND(SUM(C41:F41)&gt;0,A41&lt;&gt;""),ROUND(IF(media_bi="MÉDIA",AVERAGE(C41:F41),SUM(C41:F41)),1),"")</f>
        <v/>
      </c>
      <c r="U41" s="12" t="str">
        <f t="shared" ref="U41:U72" si="7">IF(AND(SUM(G41:J41)&gt;0,A41&lt;&gt;""),ROUND(IF(media_bi="MÉDIA",AVERAGE(G41:J41),SUM(G41:J41)),1),"")</f>
        <v/>
      </c>
      <c r="V41" s="12" t="str">
        <f t="shared" ref="V41:V72" si="8">IF(AND(SUM(K41:N41)&gt;0,A41&lt;&gt;""),ROUND(IF(media_bi="MÉDIA",AVERAGE(K41:N41),SUM(K41:N41)),1),"")</f>
        <v/>
      </c>
      <c r="W41" s="12" t="str">
        <f t="shared" ref="W41:W72" si="9">IF(AND(SUM(O41:R41)&gt;0,A41&lt;&gt;""),ROUND(IF(media_bi="MÉDIA",AVERAGE(O41:R41),SUM(O41:R41)),1),"")</f>
        <v/>
      </c>
      <c r="X41" s="12" t="str">
        <f t="shared" si="5"/>
        <v/>
      </c>
      <c r="Y41" s="2" t="str">
        <f t="shared" ref="Y41:Y72" si="10">IF(A41&lt;&gt;"",IF(COUNT(T41:W41)&lt;avaliacoes_bi,termo_cursando,IF(X41&gt;=meta_aprov,termo_aprovado,IF(X41&lt;meta_recup,termo_reprovado,IF(S41="",termo_recup,termo_reprovado)))),"")</f>
        <v/>
      </c>
    </row>
    <row r="42" spans="1:25" s="11" customFormat="1" ht="20.100000000000001" customHeight="1" x14ac:dyDescent="0.25">
      <c r="A42" s="2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12" t="str">
        <f t="shared" si="6"/>
        <v/>
      </c>
      <c r="U42" s="12" t="str">
        <f t="shared" si="7"/>
        <v/>
      </c>
      <c r="V42" s="12" t="str">
        <f t="shared" si="8"/>
        <v/>
      </c>
      <c r="W42" s="12" t="str">
        <f t="shared" si="9"/>
        <v/>
      </c>
      <c r="X42" s="12" t="str">
        <f t="shared" ref="X42:X73" si="11">IF(AND(SUM(T42:W42)&gt;0,A42&lt;&gt;""),IF(S42&lt;&gt;"",IF(recup="SUBST",IF($S42&gt;ROUND(IF(media_final="MÉDIA",AVERAGE(T42:W42),SUM(T42:W42)),1),$S42,ROUND(IF(media_final="MÉDIA",AVERAGE(T42:W42),SUM(T42:W42)),1)),$S42+ROUND(IF(media_final="MÉDIA",AVERAGE(T42:W42),SUM(T42:W42)),1)),ROUND(IF(media_final="MÉDIA",AVERAGE(T42:W42),SUM(T42:W42)),1)),"")</f>
        <v/>
      </c>
      <c r="Y42" s="2" t="str">
        <f t="shared" si="10"/>
        <v/>
      </c>
    </row>
    <row r="43" spans="1:25" s="11" customFormat="1" ht="20.100000000000001" customHeight="1" x14ac:dyDescent="0.25">
      <c r="A43" s="2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12" t="str">
        <f t="shared" si="6"/>
        <v/>
      </c>
      <c r="U43" s="12" t="str">
        <f t="shared" si="7"/>
        <v/>
      </c>
      <c r="V43" s="12" t="str">
        <f t="shared" si="8"/>
        <v/>
      </c>
      <c r="W43" s="12" t="str">
        <f t="shared" si="9"/>
        <v/>
      </c>
      <c r="X43" s="12" t="str">
        <f t="shared" si="11"/>
        <v/>
      </c>
      <c r="Y43" s="2" t="str">
        <f t="shared" si="10"/>
        <v/>
      </c>
    </row>
    <row r="44" spans="1:25" s="11" customFormat="1" ht="20.100000000000001" customHeight="1" x14ac:dyDescent="0.25">
      <c r="A44" s="2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12" t="str">
        <f t="shared" si="6"/>
        <v/>
      </c>
      <c r="U44" s="12" t="str">
        <f t="shared" si="7"/>
        <v/>
      </c>
      <c r="V44" s="12" t="str">
        <f t="shared" si="8"/>
        <v/>
      </c>
      <c r="W44" s="12" t="str">
        <f t="shared" si="9"/>
        <v/>
      </c>
      <c r="X44" s="12" t="str">
        <f t="shared" si="11"/>
        <v/>
      </c>
      <c r="Y44" s="2" t="str">
        <f t="shared" si="10"/>
        <v/>
      </c>
    </row>
    <row r="45" spans="1:25" s="11" customFormat="1" ht="20.100000000000001" customHeight="1" x14ac:dyDescent="0.25">
      <c r="A45" s="2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12" t="str">
        <f t="shared" si="6"/>
        <v/>
      </c>
      <c r="U45" s="12" t="str">
        <f t="shared" si="7"/>
        <v/>
      </c>
      <c r="V45" s="12" t="str">
        <f t="shared" si="8"/>
        <v/>
      </c>
      <c r="W45" s="12" t="str">
        <f t="shared" si="9"/>
        <v/>
      </c>
      <c r="X45" s="12" t="str">
        <f t="shared" si="11"/>
        <v/>
      </c>
      <c r="Y45" s="2" t="str">
        <f t="shared" si="10"/>
        <v/>
      </c>
    </row>
    <row r="46" spans="1:25" s="11" customFormat="1" ht="20.100000000000001" customHeight="1" x14ac:dyDescent="0.25">
      <c r="A46" s="2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12" t="str">
        <f t="shared" si="6"/>
        <v/>
      </c>
      <c r="U46" s="12" t="str">
        <f t="shared" si="7"/>
        <v/>
      </c>
      <c r="V46" s="12" t="str">
        <f t="shared" si="8"/>
        <v/>
      </c>
      <c r="W46" s="12" t="str">
        <f t="shared" si="9"/>
        <v/>
      </c>
      <c r="X46" s="12" t="str">
        <f t="shared" si="11"/>
        <v/>
      </c>
      <c r="Y46" s="2" t="str">
        <f t="shared" si="10"/>
        <v/>
      </c>
    </row>
    <row r="47" spans="1:25" s="11" customFormat="1" ht="20.100000000000001" customHeight="1" x14ac:dyDescent="0.25">
      <c r="A47" s="2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12" t="str">
        <f t="shared" si="6"/>
        <v/>
      </c>
      <c r="U47" s="12" t="str">
        <f t="shared" si="7"/>
        <v/>
      </c>
      <c r="V47" s="12" t="str">
        <f t="shared" si="8"/>
        <v/>
      </c>
      <c r="W47" s="12" t="str">
        <f t="shared" si="9"/>
        <v/>
      </c>
      <c r="X47" s="12" t="str">
        <f t="shared" si="11"/>
        <v/>
      </c>
      <c r="Y47" s="2" t="str">
        <f t="shared" si="10"/>
        <v/>
      </c>
    </row>
    <row r="48" spans="1:25" s="11" customFormat="1" ht="20.100000000000001" customHeight="1" x14ac:dyDescent="0.25">
      <c r="A48" s="2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12" t="str">
        <f t="shared" si="6"/>
        <v/>
      </c>
      <c r="U48" s="12" t="str">
        <f t="shared" si="7"/>
        <v/>
      </c>
      <c r="V48" s="12" t="str">
        <f t="shared" si="8"/>
        <v/>
      </c>
      <c r="W48" s="12" t="str">
        <f t="shared" si="9"/>
        <v/>
      </c>
      <c r="X48" s="12" t="str">
        <f t="shared" si="11"/>
        <v/>
      </c>
      <c r="Y48" s="2" t="str">
        <f t="shared" si="10"/>
        <v/>
      </c>
    </row>
    <row r="49" spans="1:25" s="11" customFormat="1" ht="20.100000000000001" customHeight="1" x14ac:dyDescent="0.25">
      <c r="A49" s="2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12" t="str">
        <f t="shared" si="6"/>
        <v/>
      </c>
      <c r="U49" s="12" t="str">
        <f t="shared" si="7"/>
        <v/>
      </c>
      <c r="V49" s="12" t="str">
        <f t="shared" si="8"/>
        <v/>
      </c>
      <c r="W49" s="12" t="str">
        <f t="shared" si="9"/>
        <v/>
      </c>
      <c r="X49" s="12" t="str">
        <f t="shared" si="11"/>
        <v/>
      </c>
      <c r="Y49" s="2" t="str">
        <f t="shared" si="10"/>
        <v/>
      </c>
    </row>
    <row r="50" spans="1:25" s="11" customFormat="1" ht="20.100000000000001" customHeight="1" x14ac:dyDescent="0.25">
      <c r="A50" s="2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12" t="str">
        <f t="shared" si="6"/>
        <v/>
      </c>
      <c r="U50" s="12" t="str">
        <f t="shared" si="7"/>
        <v/>
      </c>
      <c r="V50" s="12" t="str">
        <f t="shared" si="8"/>
        <v/>
      </c>
      <c r="W50" s="12" t="str">
        <f t="shared" si="9"/>
        <v/>
      </c>
      <c r="X50" s="12" t="str">
        <f t="shared" si="11"/>
        <v/>
      </c>
      <c r="Y50" s="2" t="str">
        <f t="shared" si="10"/>
        <v/>
      </c>
    </row>
    <row r="51" spans="1:25" s="11" customFormat="1" ht="20.100000000000001" customHeight="1" x14ac:dyDescent="0.25">
      <c r="A51" s="2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12" t="str">
        <f t="shared" si="6"/>
        <v/>
      </c>
      <c r="U51" s="12" t="str">
        <f t="shared" si="7"/>
        <v/>
      </c>
      <c r="V51" s="12" t="str">
        <f t="shared" si="8"/>
        <v/>
      </c>
      <c r="W51" s="12" t="str">
        <f t="shared" si="9"/>
        <v/>
      </c>
      <c r="X51" s="12" t="str">
        <f t="shared" si="11"/>
        <v/>
      </c>
      <c r="Y51" s="2" t="str">
        <f t="shared" si="10"/>
        <v/>
      </c>
    </row>
    <row r="52" spans="1:25" s="11" customFormat="1" ht="20.100000000000001" customHeight="1" x14ac:dyDescent="0.25">
      <c r="A52" s="2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12" t="str">
        <f t="shared" si="6"/>
        <v/>
      </c>
      <c r="U52" s="12" t="str">
        <f t="shared" si="7"/>
        <v/>
      </c>
      <c r="V52" s="12" t="str">
        <f t="shared" si="8"/>
        <v/>
      </c>
      <c r="W52" s="12" t="str">
        <f t="shared" si="9"/>
        <v/>
      </c>
      <c r="X52" s="12" t="str">
        <f t="shared" si="11"/>
        <v/>
      </c>
      <c r="Y52" s="2" t="str">
        <f t="shared" si="10"/>
        <v/>
      </c>
    </row>
    <row r="53" spans="1:25" s="11" customFormat="1" ht="20.100000000000001" customHeight="1" x14ac:dyDescent="0.25">
      <c r="A53" s="2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12" t="str">
        <f t="shared" si="6"/>
        <v/>
      </c>
      <c r="U53" s="12" t="str">
        <f t="shared" si="7"/>
        <v/>
      </c>
      <c r="V53" s="12" t="str">
        <f t="shared" si="8"/>
        <v/>
      </c>
      <c r="W53" s="12" t="str">
        <f t="shared" si="9"/>
        <v/>
      </c>
      <c r="X53" s="12" t="str">
        <f t="shared" si="11"/>
        <v/>
      </c>
      <c r="Y53" s="2" t="str">
        <f t="shared" si="10"/>
        <v/>
      </c>
    </row>
    <row r="54" spans="1:25" s="11" customFormat="1" ht="20.100000000000001" customHeight="1" x14ac:dyDescent="0.25">
      <c r="A54" s="2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12" t="str">
        <f t="shared" si="6"/>
        <v/>
      </c>
      <c r="U54" s="12" t="str">
        <f t="shared" si="7"/>
        <v/>
      </c>
      <c r="V54" s="12" t="str">
        <f t="shared" si="8"/>
        <v/>
      </c>
      <c r="W54" s="12" t="str">
        <f t="shared" si="9"/>
        <v/>
      </c>
      <c r="X54" s="12" t="str">
        <f t="shared" si="11"/>
        <v/>
      </c>
      <c r="Y54" s="2" t="str">
        <f t="shared" si="10"/>
        <v/>
      </c>
    </row>
    <row r="55" spans="1:25" s="11" customFormat="1" ht="20.100000000000001" customHeight="1" x14ac:dyDescent="0.25">
      <c r="A55" s="2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12" t="str">
        <f t="shared" si="6"/>
        <v/>
      </c>
      <c r="U55" s="12" t="str">
        <f t="shared" si="7"/>
        <v/>
      </c>
      <c r="V55" s="12" t="str">
        <f t="shared" si="8"/>
        <v/>
      </c>
      <c r="W55" s="12" t="str">
        <f t="shared" si="9"/>
        <v/>
      </c>
      <c r="X55" s="12" t="str">
        <f t="shared" si="11"/>
        <v/>
      </c>
      <c r="Y55" s="2" t="str">
        <f t="shared" si="10"/>
        <v/>
      </c>
    </row>
    <row r="56" spans="1:25" s="11" customFormat="1" ht="20.100000000000001" customHeight="1" x14ac:dyDescent="0.25">
      <c r="A56" s="2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12" t="str">
        <f t="shared" si="6"/>
        <v/>
      </c>
      <c r="U56" s="12" t="str">
        <f t="shared" si="7"/>
        <v/>
      </c>
      <c r="V56" s="12" t="str">
        <f t="shared" si="8"/>
        <v/>
      </c>
      <c r="W56" s="12" t="str">
        <f t="shared" si="9"/>
        <v/>
      </c>
      <c r="X56" s="12" t="str">
        <f t="shared" si="11"/>
        <v/>
      </c>
      <c r="Y56" s="2" t="str">
        <f t="shared" si="10"/>
        <v/>
      </c>
    </row>
    <row r="57" spans="1:25" s="11" customFormat="1" ht="20.100000000000001" customHeight="1" x14ac:dyDescent="0.25">
      <c r="A57" s="2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12" t="str">
        <f t="shared" si="6"/>
        <v/>
      </c>
      <c r="U57" s="12" t="str">
        <f t="shared" si="7"/>
        <v/>
      </c>
      <c r="V57" s="12" t="str">
        <f t="shared" si="8"/>
        <v/>
      </c>
      <c r="W57" s="12" t="str">
        <f t="shared" si="9"/>
        <v/>
      </c>
      <c r="X57" s="12" t="str">
        <f t="shared" si="11"/>
        <v/>
      </c>
      <c r="Y57" s="2" t="str">
        <f t="shared" si="10"/>
        <v/>
      </c>
    </row>
    <row r="58" spans="1:25" s="11" customFormat="1" ht="20.100000000000001" customHeight="1" x14ac:dyDescent="0.25">
      <c r="A58" s="2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12" t="str">
        <f t="shared" si="6"/>
        <v/>
      </c>
      <c r="U58" s="12" t="str">
        <f t="shared" si="7"/>
        <v/>
      </c>
      <c r="V58" s="12" t="str">
        <f t="shared" si="8"/>
        <v/>
      </c>
      <c r="W58" s="12" t="str">
        <f t="shared" si="9"/>
        <v/>
      </c>
      <c r="X58" s="12" t="str">
        <f t="shared" si="11"/>
        <v/>
      </c>
      <c r="Y58" s="2" t="str">
        <f t="shared" si="10"/>
        <v/>
      </c>
    </row>
    <row r="59" spans="1:25" s="11" customFormat="1" ht="20.100000000000001" customHeight="1" x14ac:dyDescent="0.25">
      <c r="A59" s="2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12" t="str">
        <f t="shared" si="6"/>
        <v/>
      </c>
      <c r="U59" s="12" t="str">
        <f t="shared" si="7"/>
        <v/>
      </c>
      <c r="V59" s="12" t="str">
        <f t="shared" si="8"/>
        <v/>
      </c>
      <c r="W59" s="12" t="str">
        <f t="shared" si="9"/>
        <v/>
      </c>
      <c r="X59" s="12" t="str">
        <f t="shared" si="11"/>
        <v/>
      </c>
      <c r="Y59" s="2" t="str">
        <f t="shared" si="10"/>
        <v/>
      </c>
    </row>
    <row r="60" spans="1:25" s="11" customFormat="1" ht="20.100000000000001" customHeight="1" x14ac:dyDescent="0.25">
      <c r="A60" s="2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12" t="str">
        <f t="shared" si="6"/>
        <v/>
      </c>
      <c r="U60" s="12" t="str">
        <f t="shared" si="7"/>
        <v/>
      </c>
      <c r="V60" s="12" t="str">
        <f t="shared" si="8"/>
        <v/>
      </c>
      <c r="W60" s="12" t="str">
        <f t="shared" si="9"/>
        <v/>
      </c>
      <c r="X60" s="12" t="str">
        <f t="shared" si="11"/>
        <v/>
      </c>
      <c r="Y60" s="2" t="str">
        <f t="shared" si="10"/>
        <v/>
      </c>
    </row>
    <row r="61" spans="1:25" s="11" customFormat="1" ht="20.100000000000001" customHeight="1" x14ac:dyDescent="0.25">
      <c r="A61" s="2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12" t="str">
        <f t="shared" si="6"/>
        <v/>
      </c>
      <c r="U61" s="12" t="str">
        <f t="shared" si="7"/>
        <v/>
      </c>
      <c r="V61" s="12" t="str">
        <f t="shared" si="8"/>
        <v/>
      </c>
      <c r="W61" s="12" t="str">
        <f t="shared" si="9"/>
        <v/>
      </c>
      <c r="X61" s="12" t="str">
        <f t="shared" si="11"/>
        <v/>
      </c>
      <c r="Y61" s="2" t="str">
        <f t="shared" si="10"/>
        <v/>
      </c>
    </row>
    <row r="62" spans="1:25" s="11" customFormat="1" ht="20.100000000000001" customHeight="1" x14ac:dyDescent="0.25">
      <c r="A62" s="2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12" t="str">
        <f t="shared" si="6"/>
        <v/>
      </c>
      <c r="U62" s="12" t="str">
        <f t="shared" si="7"/>
        <v/>
      </c>
      <c r="V62" s="12" t="str">
        <f t="shared" si="8"/>
        <v/>
      </c>
      <c r="W62" s="12" t="str">
        <f t="shared" si="9"/>
        <v/>
      </c>
      <c r="X62" s="12" t="str">
        <f t="shared" si="11"/>
        <v/>
      </c>
      <c r="Y62" s="2" t="str">
        <f t="shared" si="10"/>
        <v/>
      </c>
    </row>
    <row r="63" spans="1:25" s="11" customFormat="1" ht="20.100000000000001" customHeight="1" x14ac:dyDescent="0.25">
      <c r="A63" s="2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12" t="str">
        <f t="shared" si="6"/>
        <v/>
      </c>
      <c r="U63" s="12" t="str">
        <f t="shared" si="7"/>
        <v/>
      </c>
      <c r="V63" s="12" t="str">
        <f t="shared" si="8"/>
        <v/>
      </c>
      <c r="W63" s="12" t="str">
        <f t="shared" si="9"/>
        <v/>
      </c>
      <c r="X63" s="12" t="str">
        <f t="shared" si="11"/>
        <v/>
      </c>
      <c r="Y63" s="2" t="str">
        <f t="shared" si="10"/>
        <v/>
      </c>
    </row>
    <row r="64" spans="1:25" s="11" customFormat="1" ht="20.100000000000001" customHeight="1" x14ac:dyDescent="0.25">
      <c r="A64" s="2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12" t="str">
        <f t="shared" si="6"/>
        <v/>
      </c>
      <c r="U64" s="12" t="str">
        <f t="shared" si="7"/>
        <v/>
      </c>
      <c r="V64" s="12" t="str">
        <f t="shared" si="8"/>
        <v/>
      </c>
      <c r="W64" s="12" t="str">
        <f t="shared" si="9"/>
        <v/>
      </c>
      <c r="X64" s="12" t="str">
        <f t="shared" si="11"/>
        <v/>
      </c>
      <c r="Y64" s="2" t="str">
        <f t="shared" si="10"/>
        <v/>
      </c>
    </row>
    <row r="65" spans="1:25" s="11" customFormat="1" ht="20.100000000000001" customHeight="1" x14ac:dyDescent="0.25">
      <c r="A65" s="2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12" t="str">
        <f t="shared" si="6"/>
        <v/>
      </c>
      <c r="U65" s="12" t="str">
        <f t="shared" si="7"/>
        <v/>
      </c>
      <c r="V65" s="12" t="str">
        <f t="shared" si="8"/>
        <v/>
      </c>
      <c r="W65" s="12" t="str">
        <f t="shared" si="9"/>
        <v/>
      </c>
      <c r="X65" s="12" t="str">
        <f t="shared" si="11"/>
        <v/>
      </c>
      <c r="Y65" s="2" t="str">
        <f t="shared" si="10"/>
        <v/>
      </c>
    </row>
    <row r="66" spans="1:25" s="11" customFormat="1" ht="20.100000000000001" customHeight="1" x14ac:dyDescent="0.25">
      <c r="A66" s="2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12" t="str">
        <f t="shared" si="6"/>
        <v/>
      </c>
      <c r="U66" s="12" t="str">
        <f t="shared" si="7"/>
        <v/>
      </c>
      <c r="V66" s="12" t="str">
        <f t="shared" si="8"/>
        <v/>
      </c>
      <c r="W66" s="12" t="str">
        <f t="shared" si="9"/>
        <v/>
      </c>
      <c r="X66" s="12" t="str">
        <f t="shared" si="11"/>
        <v/>
      </c>
      <c r="Y66" s="2" t="str">
        <f t="shared" si="10"/>
        <v/>
      </c>
    </row>
    <row r="67" spans="1:25" s="11" customFormat="1" ht="20.100000000000001" customHeight="1" x14ac:dyDescent="0.25">
      <c r="A67" s="2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12" t="str">
        <f t="shared" si="6"/>
        <v/>
      </c>
      <c r="U67" s="12" t="str">
        <f t="shared" si="7"/>
        <v/>
      </c>
      <c r="V67" s="12" t="str">
        <f t="shared" si="8"/>
        <v/>
      </c>
      <c r="W67" s="12" t="str">
        <f t="shared" si="9"/>
        <v/>
      </c>
      <c r="X67" s="12" t="str">
        <f t="shared" si="11"/>
        <v/>
      </c>
      <c r="Y67" s="2" t="str">
        <f t="shared" si="10"/>
        <v/>
      </c>
    </row>
    <row r="68" spans="1:25" s="11" customFormat="1" ht="20.100000000000001" customHeight="1" x14ac:dyDescent="0.25">
      <c r="A68" s="2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12" t="str">
        <f t="shared" si="6"/>
        <v/>
      </c>
      <c r="U68" s="12" t="str">
        <f t="shared" si="7"/>
        <v/>
      </c>
      <c r="V68" s="12" t="str">
        <f t="shared" si="8"/>
        <v/>
      </c>
      <c r="W68" s="12" t="str">
        <f t="shared" si="9"/>
        <v/>
      </c>
      <c r="X68" s="12" t="str">
        <f t="shared" si="11"/>
        <v/>
      </c>
      <c r="Y68" s="2" t="str">
        <f t="shared" si="10"/>
        <v/>
      </c>
    </row>
    <row r="69" spans="1:25" s="11" customFormat="1" ht="20.100000000000001" customHeight="1" x14ac:dyDescent="0.25">
      <c r="A69" s="2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12" t="str">
        <f t="shared" si="6"/>
        <v/>
      </c>
      <c r="U69" s="12" t="str">
        <f t="shared" si="7"/>
        <v/>
      </c>
      <c r="V69" s="12" t="str">
        <f t="shared" si="8"/>
        <v/>
      </c>
      <c r="W69" s="12" t="str">
        <f t="shared" si="9"/>
        <v/>
      </c>
      <c r="X69" s="12" t="str">
        <f t="shared" si="11"/>
        <v/>
      </c>
      <c r="Y69" s="2" t="str">
        <f t="shared" si="10"/>
        <v/>
      </c>
    </row>
    <row r="70" spans="1:25" s="11" customFormat="1" ht="20.100000000000001" customHeight="1" x14ac:dyDescent="0.25">
      <c r="A70" s="2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12" t="str">
        <f t="shared" si="6"/>
        <v/>
      </c>
      <c r="U70" s="12" t="str">
        <f t="shared" si="7"/>
        <v/>
      </c>
      <c r="V70" s="12" t="str">
        <f t="shared" si="8"/>
        <v/>
      </c>
      <c r="W70" s="12" t="str">
        <f t="shared" si="9"/>
        <v/>
      </c>
      <c r="X70" s="12" t="str">
        <f t="shared" si="11"/>
        <v/>
      </c>
      <c r="Y70" s="2" t="str">
        <f t="shared" si="10"/>
        <v/>
      </c>
    </row>
    <row r="71" spans="1:25" s="11" customFormat="1" ht="20.100000000000001" customHeight="1" x14ac:dyDescent="0.25">
      <c r="A71" s="2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12" t="str">
        <f t="shared" si="6"/>
        <v/>
      </c>
      <c r="U71" s="12" t="str">
        <f t="shared" si="7"/>
        <v/>
      </c>
      <c r="V71" s="12" t="str">
        <f t="shared" si="8"/>
        <v/>
      </c>
      <c r="W71" s="12" t="str">
        <f t="shared" si="9"/>
        <v/>
      </c>
      <c r="X71" s="12" t="str">
        <f t="shared" si="11"/>
        <v/>
      </c>
      <c r="Y71" s="2" t="str">
        <f t="shared" si="10"/>
        <v/>
      </c>
    </row>
    <row r="72" spans="1:25" s="11" customFormat="1" ht="20.100000000000001" customHeight="1" x14ac:dyDescent="0.25">
      <c r="A72" s="2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12" t="str">
        <f t="shared" si="6"/>
        <v/>
      </c>
      <c r="U72" s="12" t="str">
        <f t="shared" si="7"/>
        <v/>
      </c>
      <c r="V72" s="12" t="str">
        <f t="shared" si="8"/>
        <v/>
      </c>
      <c r="W72" s="12" t="str">
        <f t="shared" si="9"/>
        <v/>
      </c>
      <c r="X72" s="12" t="str">
        <f t="shared" si="11"/>
        <v/>
      </c>
      <c r="Y72" s="2" t="str">
        <f t="shared" si="10"/>
        <v/>
      </c>
    </row>
    <row r="73" spans="1:25" s="11" customFormat="1" ht="20.100000000000001" customHeight="1" x14ac:dyDescent="0.25">
      <c r="A73" s="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12" t="str">
        <f t="shared" ref="T73:T104" si="12">IF(AND(SUM(C73:F73)&gt;0,A73&lt;&gt;""),ROUND(IF(media_bi="MÉDIA",AVERAGE(C73:F73),SUM(C73:F73)),1),"")</f>
        <v/>
      </c>
      <c r="U73" s="12" t="str">
        <f t="shared" ref="U73:U104" si="13">IF(AND(SUM(G73:J73)&gt;0,A73&lt;&gt;""),ROUND(IF(media_bi="MÉDIA",AVERAGE(G73:J73),SUM(G73:J73)),1),"")</f>
        <v/>
      </c>
      <c r="V73" s="12" t="str">
        <f t="shared" ref="V73:V104" si="14">IF(AND(SUM(K73:N73)&gt;0,A73&lt;&gt;""),ROUND(IF(media_bi="MÉDIA",AVERAGE(K73:N73),SUM(K73:N73)),1),"")</f>
        <v/>
      </c>
      <c r="W73" s="12" t="str">
        <f t="shared" ref="W73:W104" si="15">IF(AND(SUM(O73:R73)&gt;0,A73&lt;&gt;""),ROUND(IF(media_bi="MÉDIA",AVERAGE(O73:R73),SUM(O73:R73)),1),"")</f>
        <v/>
      </c>
      <c r="X73" s="12" t="str">
        <f t="shared" si="11"/>
        <v/>
      </c>
      <c r="Y73" s="2" t="str">
        <f t="shared" ref="Y73:Y104" si="16">IF(A73&lt;&gt;"",IF(COUNT(T73:W73)&lt;avaliacoes_bi,termo_cursando,IF(X73&gt;=meta_aprov,termo_aprovado,IF(X73&lt;meta_recup,termo_reprovado,IF(S73="",termo_recup,termo_reprovado)))),"")</f>
        <v/>
      </c>
    </row>
    <row r="74" spans="1:25" s="11" customFormat="1" ht="20.100000000000001" customHeight="1" x14ac:dyDescent="0.25">
      <c r="A74" s="2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12" t="str">
        <f t="shared" si="12"/>
        <v/>
      </c>
      <c r="U74" s="12" t="str">
        <f t="shared" si="13"/>
        <v/>
      </c>
      <c r="V74" s="12" t="str">
        <f t="shared" si="14"/>
        <v/>
      </c>
      <c r="W74" s="12" t="str">
        <f t="shared" si="15"/>
        <v/>
      </c>
      <c r="X74" s="12" t="str">
        <f t="shared" ref="X74:X105" si="17">IF(AND(SUM(T74:W74)&gt;0,A74&lt;&gt;""),IF(S74&lt;&gt;"",IF(recup="SUBST",IF($S74&gt;ROUND(IF(media_final="MÉDIA",AVERAGE(T74:W74),SUM(T74:W74)),1),$S74,ROUND(IF(media_final="MÉDIA",AVERAGE(T74:W74),SUM(T74:W74)),1)),$S74+ROUND(IF(media_final="MÉDIA",AVERAGE(T74:W74),SUM(T74:W74)),1)),ROUND(IF(media_final="MÉDIA",AVERAGE(T74:W74),SUM(T74:W74)),1)),"")</f>
        <v/>
      </c>
      <c r="Y74" s="2" t="str">
        <f t="shared" si="16"/>
        <v/>
      </c>
    </row>
    <row r="75" spans="1:25" s="11" customFormat="1" ht="20.100000000000001" customHeight="1" x14ac:dyDescent="0.25">
      <c r="A75" s="2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12" t="str">
        <f t="shared" si="12"/>
        <v/>
      </c>
      <c r="U75" s="12" t="str">
        <f t="shared" si="13"/>
        <v/>
      </c>
      <c r="V75" s="12" t="str">
        <f t="shared" si="14"/>
        <v/>
      </c>
      <c r="W75" s="12" t="str">
        <f t="shared" si="15"/>
        <v/>
      </c>
      <c r="X75" s="12" t="str">
        <f t="shared" si="17"/>
        <v/>
      </c>
      <c r="Y75" s="2" t="str">
        <f t="shared" si="16"/>
        <v/>
      </c>
    </row>
    <row r="76" spans="1:25" s="11" customFormat="1" ht="20.100000000000001" customHeight="1" x14ac:dyDescent="0.25">
      <c r="A76" s="2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12" t="str">
        <f t="shared" si="12"/>
        <v/>
      </c>
      <c r="U76" s="12" t="str">
        <f t="shared" si="13"/>
        <v/>
      </c>
      <c r="V76" s="12" t="str">
        <f t="shared" si="14"/>
        <v/>
      </c>
      <c r="W76" s="12" t="str">
        <f t="shared" si="15"/>
        <v/>
      </c>
      <c r="X76" s="12" t="str">
        <f t="shared" si="17"/>
        <v/>
      </c>
      <c r="Y76" s="2" t="str">
        <f t="shared" si="16"/>
        <v/>
      </c>
    </row>
    <row r="77" spans="1:25" s="11" customFormat="1" ht="20.100000000000001" customHeight="1" x14ac:dyDescent="0.25">
      <c r="A77" s="2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12" t="str">
        <f t="shared" si="12"/>
        <v/>
      </c>
      <c r="U77" s="12" t="str">
        <f t="shared" si="13"/>
        <v/>
      </c>
      <c r="V77" s="12" t="str">
        <f t="shared" si="14"/>
        <v/>
      </c>
      <c r="W77" s="12" t="str">
        <f t="shared" si="15"/>
        <v/>
      </c>
      <c r="X77" s="12" t="str">
        <f t="shared" si="17"/>
        <v/>
      </c>
      <c r="Y77" s="2" t="str">
        <f t="shared" si="16"/>
        <v/>
      </c>
    </row>
    <row r="78" spans="1:25" s="11" customFormat="1" ht="20.100000000000001" customHeight="1" x14ac:dyDescent="0.25">
      <c r="A78" s="2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12" t="str">
        <f t="shared" si="12"/>
        <v/>
      </c>
      <c r="U78" s="12" t="str">
        <f t="shared" si="13"/>
        <v/>
      </c>
      <c r="V78" s="12" t="str">
        <f t="shared" si="14"/>
        <v/>
      </c>
      <c r="W78" s="12" t="str">
        <f t="shared" si="15"/>
        <v/>
      </c>
      <c r="X78" s="12" t="str">
        <f t="shared" si="17"/>
        <v/>
      </c>
      <c r="Y78" s="2" t="str">
        <f t="shared" si="16"/>
        <v/>
      </c>
    </row>
    <row r="79" spans="1:25" s="11" customFormat="1" ht="20.100000000000001" customHeight="1" x14ac:dyDescent="0.25">
      <c r="A79" s="2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12" t="str">
        <f t="shared" si="12"/>
        <v/>
      </c>
      <c r="U79" s="12" t="str">
        <f t="shared" si="13"/>
        <v/>
      </c>
      <c r="V79" s="12" t="str">
        <f t="shared" si="14"/>
        <v/>
      </c>
      <c r="W79" s="12" t="str">
        <f t="shared" si="15"/>
        <v/>
      </c>
      <c r="X79" s="12" t="str">
        <f t="shared" si="17"/>
        <v/>
      </c>
      <c r="Y79" s="2" t="str">
        <f t="shared" si="16"/>
        <v/>
      </c>
    </row>
    <row r="80" spans="1:25" s="11" customFormat="1" ht="20.100000000000001" customHeight="1" x14ac:dyDescent="0.25">
      <c r="A80" s="2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12" t="str">
        <f t="shared" si="12"/>
        <v/>
      </c>
      <c r="U80" s="12" t="str">
        <f t="shared" si="13"/>
        <v/>
      </c>
      <c r="V80" s="12" t="str">
        <f t="shared" si="14"/>
        <v/>
      </c>
      <c r="W80" s="12" t="str">
        <f t="shared" si="15"/>
        <v/>
      </c>
      <c r="X80" s="12" t="str">
        <f t="shared" si="17"/>
        <v/>
      </c>
      <c r="Y80" s="2" t="str">
        <f t="shared" si="16"/>
        <v/>
      </c>
    </row>
    <row r="81" spans="1:25" s="11" customFormat="1" ht="20.100000000000001" customHeight="1" x14ac:dyDescent="0.25">
      <c r="A81" s="2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12" t="str">
        <f t="shared" si="12"/>
        <v/>
      </c>
      <c r="U81" s="12" t="str">
        <f t="shared" si="13"/>
        <v/>
      </c>
      <c r="V81" s="12" t="str">
        <f t="shared" si="14"/>
        <v/>
      </c>
      <c r="W81" s="12" t="str">
        <f t="shared" si="15"/>
        <v/>
      </c>
      <c r="X81" s="12" t="str">
        <f t="shared" si="17"/>
        <v/>
      </c>
      <c r="Y81" s="2" t="str">
        <f t="shared" si="16"/>
        <v/>
      </c>
    </row>
    <row r="82" spans="1:25" s="11" customFormat="1" ht="20.100000000000001" customHeight="1" x14ac:dyDescent="0.25">
      <c r="A82" s="2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12" t="str">
        <f t="shared" si="12"/>
        <v/>
      </c>
      <c r="U82" s="12" t="str">
        <f t="shared" si="13"/>
        <v/>
      </c>
      <c r="V82" s="12" t="str">
        <f t="shared" si="14"/>
        <v/>
      </c>
      <c r="W82" s="12" t="str">
        <f t="shared" si="15"/>
        <v/>
      </c>
      <c r="X82" s="12" t="str">
        <f t="shared" si="17"/>
        <v/>
      </c>
      <c r="Y82" s="2" t="str">
        <f t="shared" si="16"/>
        <v/>
      </c>
    </row>
    <row r="83" spans="1:25" s="11" customFormat="1" ht="20.100000000000001" customHeight="1" x14ac:dyDescent="0.25">
      <c r="A83" s="2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12" t="str">
        <f t="shared" si="12"/>
        <v/>
      </c>
      <c r="U83" s="12" t="str">
        <f t="shared" si="13"/>
        <v/>
      </c>
      <c r="V83" s="12" t="str">
        <f t="shared" si="14"/>
        <v/>
      </c>
      <c r="W83" s="12" t="str">
        <f t="shared" si="15"/>
        <v/>
      </c>
      <c r="X83" s="12" t="str">
        <f t="shared" si="17"/>
        <v/>
      </c>
      <c r="Y83" s="2" t="str">
        <f t="shared" si="16"/>
        <v/>
      </c>
    </row>
    <row r="84" spans="1:25" s="11" customFormat="1" ht="20.100000000000001" customHeight="1" x14ac:dyDescent="0.25">
      <c r="A84" s="2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12" t="str">
        <f t="shared" si="12"/>
        <v/>
      </c>
      <c r="U84" s="12" t="str">
        <f t="shared" si="13"/>
        <v/>
      </c>
      <c r="V84" s="12" t="str">
        <f t="shared" si="14"/>
        <v/>
      </c>
      <c r="W84" s="12" t="str">
        <f t="shared" si="15"/>
        <v/>
      </c>
      <c r="X84" s="12" t="str">
        <f t="shared" si="17"/>
        <v/>
      </c>
      <c r="Y84" s="2" t="str">
        <f t="shared" si="16"/>
        <v/>
      </c>
    </row>
    <row r="85" spans="1:25" s="11" customFormat="1" ht="20.100000000000001" customHeight="1" x14ac:dyDescent="0.25">
      <c r="A85" s="2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12" t="str">
        <f t="shared" si="12"/>
        <v/>
      </c>
      <c r="U85" s="12" t="str">
        <f t="shared" si="13"/>
        <v/>
      </c>
      <c r="V85" s="12" t="str">
        <f t="shared" si="14"/>
        <v/>
      </c>
      <c r="W85" s="12" t="str">
        <f t="shared" si="15"/>
        <v/>
      </c>
      <c r="X85" s="12" t="str">
        <f t="shared" si="17"/>
        <v/>
      </c>
      <c r="Y85" s="2" t="str">
        <f t="shared" si="16"/>
        <v/>
      </c>
    </row>
    <row r="86" spans="1:25" s="11" customFormat="1" ht="20.100000000000001" customHeight="1" x14ac:dyDescent="0.25">
      <c r="A86" s="2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12" t="str">
        <f t="shared" si="12"/>
        <v/>
      </c>
      <c r="U86" s="12" t="str">
        <f t="shared" si="13"/>
        <v/>
      </c>
      <c r="V86" s="12" t="str">
        <f t="shared" si="14"/>
        <v/>
      </c>
      <c r="W86" s="12" t="str">
        <f t="shared" si="15"/>
        <v/>
      </c>
      <c r="X86" s="12" t="str">
        <f t="shared" si="17"/>
        <v/>
      </c>
      <c r="Y86" s="2" t="str">
        <f t="shared" si="16"/>
        <v/>
      </c>
    </row>
    <row r="87" spans="1:25" s="11" customFormat="1" ht="20.100000000000001" customHeight="1" x14ac:dyDescent="0.25">
      <c r="A87" s="2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12" t="str">
        <f t="shared" si="12"/>
        <v/>
      </c>
      <c r="U87" s="12" t="str">
        <f t="shared" si="13"/>
        <v/>
      </c>
      <c r="V87" s="12" t="str">
        <f t="shared" si="14"/>
        <v/>
      </c>
      <c r="W87" s="12" t="str">
        <f t="shared" si="15"/>
        <v/>
      </c>
      <c r="X87" s="12" t="str">
        <f t="shared" si="17"/>
        <v/>
      </c>
      <c r="Y87" s="2" t="str">
        <f t="shared" si="16"/>
        <v/>
      </c>
    </row>
    <row r="88" spans="1:25" s="11" customFormat="1" ht="20.100000000000001" customHeight="1" x14ac:dyDescent="0.25">
      <c r="A88" s="2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12" t="str">
        <f t="shared" si="12"/>
        <v/>
      </c>
      <c r="U88" s="12" t="str">
        <f t="shared" si="13"/>
        <v/>
      </c>
      <c r="V88" s="12" t="str">
        <f t="shared" si="14"/>
        <v/>
      </c>
      <c r="W88" s="12" t="str">
        <f t="shared" si="15"/>
        <v/>
      </c>
      <c r="X88" s="12" t="str">
        <f t="shared" si="17"/>
        <v/>
      </c>
      <c r="Y88" s="2" t="str">
        <f t="shared" si="16"/>
        <v/>
      </c>
    </row>
    <row r="89" spans="1:25" s="11" customFormat="1" ht="20.100000000000001" customHeight="1" x14ac:dyDescent="0.25">
      <c r="A89" s="2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12" t="str">
        <f t="shared" si="12"/>
        <v/>
      </c>
      <c r="U89" s="12" t="str">
        <f t="shared" si="13"/>
        <v/>
      </c>
      <c r="V89" s="12" t="str">
        <f t="shared" si="14"/>
        <v/>
      </c>
      <c r="W89" s="12" t="str">
        <f t="shared" si="15"/>
        <v/>
      </c>
      <c r="X89" s="12" t="str">
        <f t="shared" si="17"/>
        <v/>
      </c>
      <c r="Y89" s="2" t="str">
        <f t="shared" si="16"/>
        <v/>
      </c>
    </row>
    <row r="90" spans="1:25" s="11" customFormat="1" ht="20.100000000000001" customHeight="1" x14ac:dyDescent="0.25">
      <c r="A90" s="2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12" t="str">
        <f t="shared" si="12"/>
        <v/>
      </c>
      <c r="U90" s="12" t="str">
        <f t="shared" si="13"/>
        <v/>
      </c>
      <c r="V90" s="12" t="str">
        <f t="shared" si="14"/>
        <v/>
      </c>
      <c r="W90" s="12" t="str">
        <f t="shared" si="15"/>
        <v/>
      </c>
      <c r="X90" s="12" t="str">
        <f t="shared" si="17"/>
        <v/>
      </c>
      <c r="Y90" s="2" t="str">
        <f t="shared" si="16"/>
        <v/>
      </c>
    </row>
    <row r="91" spans="1:25" s="11" customFormat="1" ht="20.100000000000001" customHeight="1" x14ac:dyDescent="0.25">
      <c r="A91" s="2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12" t="str">
        <f t="shared" si="12"/>
        <v/>
      </c>
      <c r="U91" s="12" t="str">
        <f t="shared" si="13"/>
        <v/>
      </c>
      <c r="V91" s="12" t="str">
        <f t="shared" si="14"/>
        <v/>
      </c>
      <c r="W91" s="12" t="str">
        <f t="shared" si="15"/>
        <v/>
      </c>
      <c r="X91" s="12" t="str">
        <f t="shared" si="17"/>
        <v/>
      </c>
      <c r="Y91" s="2" t="str">
        <f t="shared" si="16"/>
        <v/>
      </c>
    </row>
    <row r="92" spans="1:25" s="11" customFormat="1" ht="20.100000000000001" customHeight="1" x14ac:dyDescent="0.25">
      <c r="A92" s="2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12" t="str">
        <f t="shared" si="12"/>
        <v/>
      </c>
      <c r="U92" s="12" t="str">
        <f t="shared" si="13"/>
        <v/>
      </c>
      <c r="V92" s="12" t="str">
        <f t="shared" si="14"/>
        <v/>
      </c>
      <c r="W92" s="12" t="str">
        <f t="shared" si="15"/>
        <v/>
      </c>
      <c r="X92" s="12" t="str">
        <f t="shared" si="17"/>
        <v/>
      </c>
      <c r="Y92" s="2" t="str">
        <f t="shared" si="16"/>
        <v/>
      </c>
    </row>
    <row r="93" spans="1:25" s="11" customFormat="1" ht="20.100000000000001" customHeight="1" x14ac:dyDescent="0.25">
      <c r="A93" s="2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12" t="str">
        <f t="shared" si="12"/>
        <v/>
      </c>
      <c r="U93" s="12" t="str">
        <f t="shared" si="13"/>
        <v/>
      </c>
      <c r="V93" s="12" t="str">
        <f t="shared" si="14"/>
        <v/>
      </c>
      <c r="W93" s="12" t="str">
        <f t="shared" si="15"/>
        <v/>
      </c>
      <c r="X93" s="12" t="str">
        <f t="shared" si="17"/>
        <v/>
      </c>
      <c r="Y93" s="2" t="str">
        <f t="shared" si="16"/>
        <v/>
      </c>
    </row>
    <row r="94" spans="1:25" s="11" customFormat="1" ht="20.100000000000001" customHeight="1" x14ac:dyDescent="0.25">
      <c r="A94" s="2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12" t="str">
        <f t="shared" si="12"/>
        <v/>
      </c>
      <c r="U94" s="12" t="str">
        <f t="shared" si="13"/>
        <v/>
      </c>
      <c r="V94" s="12" t="str">
        <f t="shared" si="14"/>
        <v/>
      </c>
      <c r="W94" s="12" t="str">
        <f t="shared" si="15"/>
        <v/>
      </c>
      <c r="X94" s="12" t="str">
        <f t="shared" si="17"/>
        <v/>
      </c>
      <c r="Y94" s="2" t="str">
        <f t="shared" si="16"/>
        <v/>
      </c>
    </row>
    <row r="95" spans="1:25" s="11" customFormat="1" ht="20.100000000000001" customHeight="1" x14ac:dyDescent="0.25">
      <c r="A95" s="2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12" t="str">
        <f t="shared" si="12"/>
        <v/>
      </c>
      <c r="U95" s="12" t="str">
        <f t="shared" si="13"/>
        <v/>
      </c>
      <c r="V95" s="12" t="str">
        <f t="shared" si="14"/>
        <v/>
      </c>
      <c r="W95" s="12" t="str">
        <f t="shared" si="15"/>
        <v/>
      </c>
      <c r="X95" s="12" t="str">
        <f t="shared" si="17"/>
        <v/>
      </c>
      <c r="Y95" s="2" t="str">
        <f t="shared" si="16"/>
        <v/>
      </c>
    </row>
    <row r="96" spans="1:25" s="11" customFormat="1" ht="20.100000000000001" customHeight="1" x14ac:dyDescent="0.25">
      <c r="A96" s="2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12" t="str">
        <f t="shared" si="12"/>
        <v/>
      </c>
      <c r="U96" s="12" t="str">
        <f t="shared" si="13"/>
        <v/>
      </c>
      <c r="V96" s="12" t="str">
        <f t="shared" si="14"/>
        <v/>
      </c>
      <c r="W96" s="12" t="str">
        <f t="shared" si="15"/>
        <v/>
      </c>
      <c r="X96" s="12" t="str">
        <f t="shared" si="17"/>
        <v/>
      </c>
      <c r="Y96" s="2" t="str">
        <f t="shared" si="16"/>
        <v/>
      </c>
    </row>
    <row r="97" spans="1:25" s="11" customFormat="1" ht="20.100000000000001" customHeight="1" x14ac:dyDescent="0.25">
      <c r="A97" s="2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12" t="str">
        <f t="shared" si="12"/>
        <v/>
      </c>
      <c r="U97" s="12" t="str">
        <f t="shared" si="13"/>
        <v/>
      </c>
      <c r="V97" s="12" t="str">
        <f t="shared" si="14"/>
        <v/>
      </c>
      <c r="W97" s="12" t="str">
        <f t="shared" si="15"/>
        <v/>
      </c>
      <c r="X97" s="12" t="str">
        <f t="shared" si="17"/>
        <v/>
      </c>
      <c r="Y97" s="2" t="str">
        <f t="shared" si="16"/>
        <v/>
      </c>
    </row>
    <row r="98" spans="1:25" s="11" customFormat="1" ht="20.100000000000001" customHeight="1" x14ac:dyDescent="0.25">
      <c r="A98" s="2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12" t="str">
        <f t="shared" si="12"/>
        <v/>
      </c>
      <c r="U98" s="12" t="str">
        <f t="shared" si="13"/>
        <v/>
      </c>
      <c r="V98" s="12" t="str">
        <f t="shared" si="14"/>
        <v/>
      </c>
      <c r="W98" s="12" t="str">
        <f t="shared" si="15"/>
        <v/>
      </c>
      <c r="X98" s="12" t="str">
        <f t="shared" si="17"/>
        <v/>
      </c>
      <c r="Y98" s="2" t="str">
        <f t="shared" si="16"/>
        <v/>
      </c>
    </row>
    <row r="99" spans="1:25" s="11" customFormat="1" ht="20.100000000000001" customHeight="1" x14ac:dyDescent="0.25">
      <c r="A99" s="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12" t="str">
        <f t="shared" si="12"/>
        <v/>
      </c>
      <c r="U99" s="12" t="str">
        <f t="shared" si="13"/>
        <v/>
      </c>
      <c r="V99" s="12" t="str">
        <f t="shared" si="14"/>
        <v/>
      </c>
      <c r="W99" s="12" t="str">
        <f t="shared" si="15"/>
        <v/>
      </c>
      <c r="X99" s="12" t="str">
        <f t="shared" si="17"/>
        <v/>
      </c>
      <c r="Y99" s="2" t="str">
        <f t="shared" si="16"/>
        <v/>
      </c>
    </row>
    <row r="100" spans="1:25" s="11" customFormat="1" ht="20.100000000000001" customHeight="1" x14ac:dyDescent="0.25">
      <c r="A100" s="2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12" t="str">
        <f t="shared" si="12"/>
        <v/>
      </c>
      <c r="U100" s="12" t="str">
        <f t="shared" si="13"/>
        <v/>
      </c>
      <c r="V100" s="12" t="str">
        <f t="shared" si="14"/>
        <v/>
      </c>
      <c r="W100" s="12" t="str">
        <f t="shared" si="15"/>
        <v/>
      </c>
      <c r="X100" s="12" t="str">
        <f t="shared" si="17"/>
        <v/>
      </c>
      <c r="Y100" s="2" t="str">
        <f t="shared" si="16"/>
        <v/>
      </c>
    </row>
    <row r="101" spans="1:25" s="11" customFormat="1" ht="20.100000000000001" customHeight="1" x14ac:dyDescent="0.25">
      <c r="A101" s="2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12" t="str">
        <f t="shared" si="12"/>
        <v/>
      </c>
      <c r="U101" s="12" t="str">
        <f t="shared" si="13"/>
        <v/>
      </c>
      <c r="V101" s="12" t="str">
        <f t="shared" si="14"/>
        <v/>
      </c>
      <c r="W101" s="12" t="str">
        <f t="shared" si="15"/>
        <v/>
      </c>
      <c r="X101" s="12" t="str">
        <f t="shared" si="17"/>
        <v/>
      </c>
      <c r="Y101" s="2" t="str">
        <f t="shared" si="16"/>
        <v/>
      </c>
    </row>
    <row r="102" spans="1:25" s="11" customFormat="1" ht="20.100000000000001" customHeight="1" x14ac:dyDescent="0.25">
      <c r="A102" s="2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12" t="str">
        <f t="shared" si="12"/>
        <v/>
      </c>
      <c r="U102" s="12" t="str">
        <f t="shared" si="13"/>
        <v/>
      </c>
      <c r="V102" s="12" t="str">
        <f t="shared" si="14"/>
        <v/>
      </c>
      <c r="W102" s="12" t="str">
        <f t="shared" si="15"/>
        <v/>
      </c>
      <c r="X102" s="12" t="str">
        <f t="shared" si="17"/>
        <v/>
      </c>
      <c r="Y102" s="2" t="str">
        <f t="shared" si="16"/>
        <v/>
      </c>
    </row>
    <row r="103" spans="1:25" s="11" customFormat="1" ht="20.100000000000001" customHeight="1" x14ac:dyDescent="0.25">
      <c r="A103" s="2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12" t="str">
        <f t="shared" si="12"/>
        <v/>
      </c>
      <c r="U103" s="12" t="str">
        <f t="shared" si="13"/>
        <v/>
      </c>
      <c r="V103" s="12" t="str">
        <f t="shared" si="14"/>
        <v/>
      </c>
      <c r="W103" s="12" t="str">
        <f t="shared" si="15"/>
        <v/>
      </c>
      <c r="X103" s="12" t="str">
        <f t="shared" si="17"/>
        <v/>
      </c>
      <c r="Y103" s="2" t="str">
        <f t="shared" si="16"/>
        <v/>
      </c>
    </row>
    <row r="104" spans="1:25" s="11" customFormat="1" ht="20.100000000000001" customHeight="1" x14ac:dyDescent="0.25">
      <c r="A104" s="2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12" t="str">
        <f t="shared" si="12"/>
        <v/>
      </c>
      <c r="U104" s="12" t="str">
        <f t="shared" si="13"/>
        <v/>
      </c>
      <c r="V104" s="12" t="str">
        <f t="shared" si="14"/>
        <v/>
      </c>
      <c r="W104" s="12" t="str">
        <f t="shared" si="15"/>
        <v/>
      </c>
      <c r="X104" s="12" t="str">
        <f t="shared" si="17"/>
        <v/>
      </c>
      <c r="Y104" s="2" t="str">
        <f t="shared" si="16"/>
        <v/>
      </c>
    </row>
    <row r="105" spans="1:25" x14ac:dyDescent="0.25"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X105" s="12" t="str">
        <f t="shared" si="17"/>
        <v/>
      </c>
    </row>
    <row r="106" spans="1:25" x14ac:dyDescent="0.25"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X106" s="12" t="str">
        <f t="shared" ref="X106:X137" si="18">IF(AND(SUM(T106:W106)&gt;0,A106&lt;&gt;""),IF(S106&lt;&gt;"",IF(recup="SUBST",IF($S106&gt;ROUND(IF(media_final="MÉDIA",AVERAGE(T106:W106),SUM(T106:W106)),1),$S106,ROUND(IF(media_final="MÉDIA",AVERAGE(T106:W106),SUM(T106:W106)),1)),$S106+ROUND(IF(media_final="MÉDIA",AVERAGE(T106:W106),SUM(T106:W106)),1)),ROUND(IF(media_final="MÉDIA",AVERAGE(T106:W106),SUM(T106:W106)),1)),"")</f>
        <v/>
      </c>
    </row>
    <row r="107" spans="1:25" x14ac:dyDescent="0.25"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X107" s="12" t="str">
        <f t="shared" si="18"/>
        <v/>
      </c>
    </row>
    <row r="108" spans="1:25" x14ac:dyDescent="0.25"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X108" s="12" t="str">
        <f t="shared" si="18"/>
        <v/>
      </c>
    </row>
    <row r="109" spans="1:25" x14ac:dyDescent="0.25"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X109" s="12" t="str">
        <f t="shared" si="18"/>
        <v/>
      </c>
    </row>
    <row r="110" spans="1:25" x14ac:dyDescent="0.25"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X110" s="12" t="str">
        <f t="shared" si="18"/>
        <v/>
      </c>
    </row>
    <row r="111" spans="1:25" x14ac:dyDescent="0.25"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X111" s="12" t="str">
        <f t="shared" si="18"/>
        <v/>
      </c>
    </row>
    <row r="112" spans="1:25" x14ac:dyDescent="0.25"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X112" s="12" t="str">
        <f t="shared" si="18"/>
        <v/>
      </c>
    </row>
    <row r="113" spans="3:24" x14ac:dyDescent="0.25"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X113" s="12" t="str">
        <f t="shared" si="18"/>
        <v/>
      </c>
    </row>
    <row r="114" spans="3:24" x14ac:dyDescent="0.25"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X114" s="12" t="str">
        <f t="shared" si="18"/>
        <v/>
      </c>
    </row>
    <row r="115" spans="3:24" x14ac:dyDescent="0.25"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X115" s="12" t="str">
        <f t="shared" si="18"/>
        <v/>
      </c>
    </row>
    <row r="116" spans="3:24" x14ac:dyDescent="0.25"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X116" s="12" t="str">
        <f t="shared" si="18"/>
        <v/>
      </c>
    </row>
    <row r="117" spans="3:24" x14ac:dyDescent="0.25"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X117" s="12" t="str">
        <f t="shared" si="18"/>
        <v/>
      </c>
    </row>
    <row r="118" spans="3:24" x14ac:dyDescent="0.25"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X118" s="12" t="str">
        <f t="shared" si="18"/>
        <v/>
      </c>
    </row>
    <row r="119" spans="3:24" x14ac:dyDescent="0.25"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X119" s="12" t="str">
        <f t="shared" si="18"/>
        <v/>
      </c>
    </row>
    <row r="120" spans="3:24" x14ac:dyDescent="0.25"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X120" s="12" t="str">
        <f t="shared" si="18"/>
        <v/>
      </c>
    </row>
    <row r="121" spans="3:24" x14ac:dyDescent="0.25"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X121" s="12" t="str">
        <f t="shared" si="18"/>
        <v/>
      </c>
    </row>
    <row r="122" spans="3:24" x14ac:dyDescent="0.25"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X122" s="12" t="str">
        <f t="shared" si="18"/>
        <v/>
      </c>
    </row>
    <row r="123" spans="3:24" x14ac:dyDescent="0.25"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X123" s="12" t="str">
        <f t="shared" si="18"/>
        <v/>
      </c>
    </row>
    <row r="124" spans="3:24" x14ac:dyDescent="0.25"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X124" s="12" t="str">
        <f t="shared" si="18"/>
        <v/>
      </c>
    </row>
    <row r="125" spans="3:24" x14ac:dyDescent="0.25"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X125" s="12" t="str">
        <f t="shared" si="18"/>
        <v/>
      </c>
    </row>
    <row r="126" spans="3:24" x14ac:dyDescent="0.25"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X126" s="12" t="str">
        <f t="shared" si="18"/>
        <v/>
      </c>
    </row>
    <row r="127" spans="3:24" x14ac:dyDescent="0.25"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X127" s="12" t="str">
        <f t="shared" si="18"/>
        <v/>
      </c>
    </row>
    <row r="128" spans="3:24" x14ac:dyDescent="0.25"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X128" s="12" t="str">
        <f t="shared" si="18"/>
        <v/>
      </c>
    </row>
    <row r="129" spans="3:24" x14ac:dyDescent="0.25"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X129" s="12" t="str">
        <f t="shared" si="18"/>
        <v/>
      </c>
    </row>
    <row r="130" spans="3:24" x14ac:dyDescent="0.25"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X130" s="12" t="str">
        <f t="shared" si="18"/>
        <v/>
      </c>
    </row>
    <row r="131" spans="3:24" x14ac:dyDescent="0.25"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X131" s="12" t="str">
        <f t="shared" si="18"/>
        <v/>
      </c>
    </row>
    <row r="132" spans="3:24" x14ac:dyDescent="0.25"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X132" s="12" t="str">
        <f t="shared" si="18"/>
        <v/>
      </c>
    </row>
    <row r="133" spans="3:24" x14ac:dyDescent="0.25"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X133" s="12" t="str">
        <f t="shared" si="18"/>
        <v/>
      </c>
    </row>
    <row r="134" spans="3:24" x14ac:dyDescent="0.25"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X134" s="12" t="str">
        <f t="shared" si="18"/>
        <v/>
      </c>
    </row>
    <row r="135" spans="3:24" x14ac:dyDescent="0.25"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X135" s="12" t="str">
        <f t="shared" si="18"/>
        <v/>
      </c>
    </row>
    <row r="136" spans="3:24" x14ac:dyDescent="0.25"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X136" s="12" t="str">
        <f t="shared" si="18"/>
        <v/>
      </c>
    </row>
    <row r="137" spans="3:24" x14ac:dyDescent="0.25"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X137" s="12" t="str">
        <f t="shared" si="18"/>
        <v/>
      </c>
    </row>
    <row r="138" spans="3:24" x14ac:dyDescent="0.25"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X138" s="12" t="str">
        <f t="shared" ref="X138:X169" si="19">IF(AND(SUM(T138:W138)&gt;0,A138&lt;&gt;""),IF(S138&lt;&gt;"",IF(recup="SUBST",IF($S138&gt;ROUND(IF(media_final="MÉDIA",AVERAGE(T138:W138),SUM(T138:W138)),1),$S138,ROUND(IF(media_final="MÉDIA",AVERAGE(T138:W138),SUM(T138:W138)),1)),$S138+ROUND(IF(media_final="MÉDIA",AVERAGE(T138:W138),SUM(T138:W138)),1)),ROUND(IF(media_final="MÉDIA",AVERAGE(T138:W138),SUM(T138:W138)),1)),"")</f>
        <v/>
      </c>
    </row>
    <row r="139" spans="3:24" x14ac:dyDescent="0.25"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X139" s="12" t="str">
        <f t="shared" si="19"/>
        <v/>
      </c>
    </row>
    <row r="140" spans="3:24" x14ac:dyDescent="0.25"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X140" s="12" t="str">
        <f t="shared" si="19"/>
        <v/>
      </c>
    </row>
    <row r="141" spans="3:24" x14ac:dyDescent="0.25"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X141" s="12" t="str">
        <f t="shared" si="19"/>
        <v/>
      </c>
    </row>
    <row r="142" spans="3:24" x14ac:dyDescent="0.25"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X142" s="12" t="str">
        <f t="shared" si="19"/>
        <v/>
      </c>
    </row>
    <row r="143" spans="3:24" x14ac:dyDescent="0.25"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X143" s="12" t="str">
        <f t="shared" si="19"/>
        <v/>
      </c>
    </row>
    <row r="144" spans="3:24" x14ac:dyDescent="0.25"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X144" s="12" t="str">
        <f t="shared" si="19"/>
        <v/>
      </c>
    </row>
    <row r="145" spans="3:24" x14ac:dyDescent="0.25"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X145" s="12" t="str">
        <f t="shared" si="19"/>
        <v/>
      </c>
    </row>
    <row r="146" spans="3:24" x14ac:dyDescent="0.25"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X146" s="12" t="str">
        <f t="shared" si="19"/>
        <v/>
      </c>
    </row>
    <row r="147" spans="3:24" x14ac:dyDescent="0.25"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X147" s="12" t="str">
        <f t="shared" si="19"/>
        <v/>
      </c>
    </row>
    <row r="148" spans="3:24" x14ac:dyDescent="0.25"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X148" s="12" t="str">
        <f t="shared" si="19"/>
        <v/>
      </c>
    </row>
    <row r="149" spans="3:24" x14ac:dyDescent="0.25"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X149" s="12" t="str">
        <f t="shared" si="19"/>
        <v/>
      </c>
    </row>
    <row r="150" spans="3:24" x14ac:dyDescent="0.25"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X150" s="12" t="str">
        <f t="shared" si="19"/>
        <v/>
      </c>
    </row>
    <row r="151" spans="3:24" x14ac:dyDescent="0.25"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X151" s="12" t="str">
        <f t="shared" si="19"/>
        <v/>
      </c>
    </row>
    <row r="152" spans="3:24" x14ac:dyDescent="0.25"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X152" s="12" t="str">
        <f t="shared" si="19"/>
        <v/>
      </c>
    </row>
    <row r="153" spans="3:24" x14ac:dyDescent="0.25"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X153" s="12" t="str">
        <f t="shared" si="19"/>
        <v/>
      </c>
    </row>
    <row r="154" spans="3:24" x14ac:dyDescent="0.25"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X154" s="12" t="str">
        <f t="shared" si="19"/>
        <v/>
      </c>
    </row>
    <row r="155" spans="3:24" x14ac:dyDescent="0.25"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X155" s="12" t="str">
        <f t="shared" si="19"/>
        <v/>
      </c>
    </row>
    <row r="156" spans="3:24" x14ac:dyDescent="0.25"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X156" s="12" t="str">
        <f t="shared" si="19"/>
        <v/>
      </c>
    </row>
    <row r="157" spans="3:24" x14ac:dyDescent="0.25"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X157" s="12" t="str">
        <f t="shared" si="19"/>
        <v/>
      </c>
    </row>
    <row r="158" spans="3:24" x14ac:dyDescent="0.25"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X158" s="12" t="str">
        <f t="shared" si="19"/>
        <v/>
      </c>
    </row>
    <row r="159" spans="3:24" x14ac:dyDescent="0.25"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X159" s="12" t="str">
        <f t="shared" si="19"/>
        <v/>
      </c>
    </row>
    <row r="160" spans="3:24" x14ac:dyDescent="0.25"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X160" s="12" t="str">
        <f t="shared" si="19"/>
        <v/>
      </c>
    </row>
    <row r="161" spans="3:24" x14ac:dyDescent="0.25"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X161" s="12" t="str">
        <f t="shared" si="19"/>
        <v/>
      </c>
    </row>
    <row r="162" spans="3:24" x14ac:dyDescent="0.25"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X162" s="12" t="str">
        <f t="shared" si="19"/>
        <v/>
      </c>
    </row>
    <row r="163" spans="3:24" x14ac:dyDescent="0.25"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X163" s="12" t="str">
        <f t="shared" si="19"/>
        <v/>
      </c>
    </row>
    <row r="164" spans="3:24" x14ac:dyDescent="0.25"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X164" s="12" t="str">
        <f t="shared" si="19"/>
        <v/>
      </c>
    </row>
    <row r="165" spans="3:24" x14ac:dyDescent="0.25"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X165" s="12" t="str">
        <f t="shared" si="19"/>
        <v/>
      </c>
    </row>
    <row r="166" spans="3:24" x14ac:dyDescent="0.25"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X166" s="12" t="str">
        <f t="shared" si="19"/>
        <v/>
      </c>
    </row>
    <row r="167" spans="3:24" x14ac:dyDescent="0.25"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X167" s="12" t="str">
        <f t="shared" si="19"/>
        <v/>
      </c>
    </row>
    <row r="168" spans="3:24" x14ac:dyDescent="0.25"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X168" s="12" t="str">
        <f t="shared" si="19"/>
        <v/>
      </c>
    </row>
    <row r="169" spans="3:24" x14ac:dyDescent="0.25"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X169" s="12" t="str">
        <f t="shared" si="19"/>
        <v/>
      </c>
    </row>
    <row r="170" spans="3:24" x14ac:dyDescent="0.25"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X170" s="12" t="str">
        <f t="shared" ref="X170:X201" si="20">IF(AND(SUM(T170:W170)&gt;0,A170&lt;&gt;""),IF(S170&lt;&gt;"",IF(recup="SUBST",IF($S170&gt;ROUND(IF(media_final="MÉDIA",AVERAGE(T170:W170),SUM(T170:W170)),1),$S170,ROUND(IF(media_final="MÉDIA",AVERAGE(T170:W170),SUM(T170:W170)),1)),$S170+ROUND(IF(media_final="MÉDIA",AVERAGE(T170:W170),SUM(T170:W170)),1)),ROUND(IF(media_final="MÉDIA",AVERAGE(T170:W170),SUM(T170:W170)),1)),"")</f>
        <v/>
      </c>
    </row>
    <row r="171" spans="3:24" x14ac:dyDescent="0.25"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X171" s="12" t="str">
        <f t="shared" si="20"/>
        <v/>
      </c>
    </row>
    <row r="172" spans="3:24" x14ac:dyDescent="0.25"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X172" s="12" t="str">
        <f t="shared" si="20"/>
        <v/>
      </c>
    </row>
    <row r="173" spans="3:24" x14ac:dyDescent="0.25"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X173" s="12" t="str">
        <f t="shared" si="20"/>
        <v/>
      </c>
    </row>
    <row r="174" spans="3:24" x14ac:dyDescent="0.25"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X174" s="12" t="str">
        <f t="shared" si="20"/>
        <v/>
      </c>
    </row>
    <row r="175" spans="3:24" x14ac:dyDescent="0.25"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X175" s="12" t="str">
        <f t="shared" si="20"/>
        <v/>
      </c>
    </row>
    <row r="176" spans="3:24" x14ac:dyDescent="0.25"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X176" s="12" t="str">
        <f t="shared" si="20"/>
        <v/>
      </c>
    </row>
    <row r="177" spans="3:24" x14ac:dyDescent="0.25"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X177" s="12" t="str">
        <f t="shared" si="20"/>
        <v/>
      </c>
    </row>
    <row r="178" spans="3:24" x14ac:dyDescent="0.25"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X178" s="12" t="str">
        <f t="shared" si="20"/>
        <v/>
      </c>
    </row>
    <row r="179" spans="3:24" x14ac:dyDescent="0.25"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X179" s="12" t="str">
        <f t="shared" si="20"/>
        <v/>
      </c>
    </row>
    <row r="180" spans="3:24" x14ac:dyDescent="0.25"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X180" s="12" t="str">
        <f t="shared" si="20"/>
        <v/>
      </c>
    </row>
    <row r="181" spans="3:24" x14ac:dyDescent="0.25"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X181" s="12" t="str">
        <f t="shared" si="20"/>
        <v/>
      </c>
    </row>
    <row r="182" spans="3:24" x14ac:dyDescent="0.25"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X182" s="12" t="str">
        <f t="shared" si="20"/>
        <v/>
      </c>
    </row>
    <row r="183" spans="3:24" x14ac:dyDescent="0.25"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X183" s="12" t="str">
        <f t="shared" si="20"/>
        <v/>
      </c>
    </row>
    <row r="184" spans="3:24" x14ac:dyDescent="0.25"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X184" s="12" t="str">
        <f t="shared" si="20"/>
        <v/>
      </c>
    </row>
    <row r="185" spans="3:24" x14ac:dyDescent="0.25"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X185" s="12" t="str">
        <f t="shared" si="20"/>
        <v/>
      </c>
    </row>
    <row r="186" spans="3:24" x14ac:dyDescent="0.25"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X186" s="12" t="str">
        <f t="shared" si="20"/>
        <v/>
      </c>
    </row>
    <row r="187" spans="3:24" x14ac:dyDescent="0.25"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X187" s="12" t="str">
        <f t="shared" si="20"/>
        <v/>
      </c>
    </row>
    <row r="188" spans="3:24" x14ac:dyDescent="0.25"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X188" s="12" t="str">
        <f t="shared" si="20"/>
        <v/>
      </c>
    </row>
    <row r="189" spans="3:24" x14ac:dyDescent="0.25"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X189" s="12" t="str">
        <f t="shared" si="20"/>
        <v/>
      </c>
    </row>
    <row r="190" spans="3:24" x14ac:dyDescent="0.25"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X190" s="12" t="str">
        <f t="shared" si="20"/>
        <v/>
      </c>
    </row>
    <row r="191" spans="3:24" x14ac:dyDescent="0.25"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X191" s="12" t="str">
        <f t="shared" si="20"/>
        <v/>
      </c>
    </row>
    <row r="192" spans="3:24" x14ac:dyDescent="0.25"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X192" s="12" t="str">
        <f t="shared" si="20"/>
        <v/>
      </c>
    </row>
    <row r="193" spans="3:24" x14ac:dyDescent="0.25"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X193" s="12" t="str">
        <f t="shared" si="20"/>
        <v/>
      </c>
    </row>
    <row r="194" spans="3:24" x14ac:dyDescent="0.25"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X194" s="12" t="str">
        <f t="shared" si="20"/>
        <v/>
      </c>
    </row>
    <row r="195" spans="3:24" x14ac:dyDescent="0.25"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X195" s="12" t="str">
        <f t="shared" si="20"/>
        <v/>
      </c>
    </row>
    <row r="196" spans="3:24" x14ac:dyDescent="0.25"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X196" s="12" t="str">
        <f t="shared" si="20"/>
        <v/>
      </c>
    </row>
    <row r="197" spans="3:24" x14ac:dyDescent="0.25"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X197" s="12" t="str">
        <f t="shared" si="20"/>
        <v/>
      </c>
    </row>
    <row r="198" spans="3:24" x14ac:dyDescent="0.25"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X198" s="12" t="str">
        <f t="shared" si="20"/>
        <v/>
      </c>
    </row>
    <row r="199" spans="3:24" x14ac:dyDescent="0.25"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X199" s="12" t="str">
        <f t="shared" si="20"/>
        <v/>
      </c>
    </row>
    <row r="200" spans="3:24" x14ac:dyDescent="0.25"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X200" s="12" t="str">
        <f t="shared" si="20"/>
        <v/>
      </c>
    </row>
    <row r="201" spans="3:24" x14ac:dyDescent="0.25">
      <c r="X201" s="12" t="str">
        <f t="shared" si="20"/>
        <v/>
      </c>
    </row>
    <row r="202" spans="3:24" x14ac:dyDescent="0.25">
      <c r="X202" s="12" t="str">
        <f t="shared" ref="X202:X204" si="21">IF(AND(SUM(T202:W202)&gt;0,A202&lt;&gt;""),IF(S202&lt;&gt;"",IF(recup="SUBST",IF($S202&gt;ROUND(IF(media_final="MÉDIA",AVERAGE(T202:W202),SUM(T202:W202)),1),$S202,ROUND(IF(media_final="MÉDIA",AVERAGE(T202:W202),SUM(T202:W202)),1)),$S202+ROUND(IF(media_final="MÉDIA",AVERAGE(T202:W202),SUM(T202:W202)),1)),ROUND(IF(media_final="MÉDIA",AVERAGE(T202:W202),SUM(T202:W202)),1)),"")</f>
        <v/>
      </c>
    </row>
    <row r="203" spans="3:24" x14ac:dyDescent="0.25">
      <c r="X203" s="12" t="str">
        <f t="shared" si="21"/>
        <v/>
      </c>
    </row>
    <row r="204" spans="3:24" x14ac:dyDescent="0.25">
      <c r="X204" s="12" t="str">
        <f t="shared" si="21"/>
        <v/>
      </c>
    </row>
    <row r="205" spans="3:24" x14ac:dyDescent="0.25">
      <c r="X205" s="12"/>
    </row>
  </sheetData>
  <sheetProtection algorithmName="SHA-512" hashValue="LYC+TyLtDH3PFLnuNqusjWl1qUSDhSGndObXd5r6XohkWBCwmfl7UvgH2c+aoRq1s8Uh/wc+1iPRMyzviAZaag==" saltValue="0ojzG1tIpxx1hAK68ugoxg==" spinCount="100000" sheet="1" objects="1" scenarios="1"/>
  <mergeCells count="22">
    <mergeCell ref="N3:N8"/>
    <mergeCell ref="C3:C8"/>
    <mergeCell ref="D3:D8"/>
    <mergeCell ref="E3:E8"/>
    <mergeCell ref="F3:F8"/>
    <mergeCell ref="G3:G8"/>
    <mergeCell ref="H3:H8"/>
    <mergeCell ref="I3:I8"/>
    <mergeCell ref="J3:J8"/>
    <mergeCell ref="K3:K8"/>
    <mergeCell ref="L3:L8"/>
    <mergeCell ref="M3:M8"/>
    <mergeCell ref="V3:V8"/>
    <mergeCell ref="W3:W8"/>
    <mergeCell ref="X3:X8"/>
    <mergeCell ref="O3:O8"/>
    <mergeCell ref="P3:P8"/>
    <mergeCell ref="Q3:Q8"/>
    <mergeCell ref="R3:R8"/>
    <mergeCell ref="T3:T8"/>
    <mergeCell ref="U3:U8"/>
    <mergeCell ref="S3:S8"/>
  </mergeCells>
  <phoneticPr fontId="3" type="noConversion"/>
  <conditionalFormatting sqref="D9:E204 L9:M204">
    <cfRule type="expression" dxfId="9" priority="10">
      <formula>$A9&lt;&gt;""</formula>
    </cfRule>
  </conditionalFormatting>
  <conditionalFormatting sqref="F9:F204 N9:N204">
    <cfRule type="expression" dxfId="8" priority="9">
      <formula>$A9&lt;&gt;""</formula>
    </cfRule>
  </conditionalFormatting>
  <conditionalFormatting sqref="C9:C204">
    <cfRule type="expression" dxfId="7" priority="8">
      <formula>$A9&lt;&gt;""</formula>
    </cfRule>
  </conditionalFormatting>
  <conditionalFormatting sqref="A9:B204 Y9:Y204">
    <cfRule type="expression" dxfId="6" priority="7">
      <formula>$A9&lt;&gt;""</formula>
    </cfRule>
  </conditionalFormatting>
  <conditionalFormatting sqref="G9:J204 O9:R204 U9:U204 W9:W204">
    <cfRule type="expression" dxfId="5" priority="6">
      <formula>$A9&lt;&gt;""</formula>
    </cfRule>
  </conditionalFormatting>
  <conditionalFormatting sqref="K9:K204 T9:T204 V9:V204 X9:Y11 X12:X205 Y10:Y204">
    <cfRule type="expression" dxfId="4" priority="5">
      <formula>$A9&lt;&gt;""</formula>
    </cfRule>
  </conditionalFormatting>
  <conditionalFormatting sqref="A9:Y11 A12:W204 X12:X205 Y10:Y204">
    <cfRule type="expression" dxfId="3" priority="3">
      <formula>OR(CELL("lin")=CELL("lin",A9))</formula>
    </cfRule>
  </conditionalFormatting>
  <conditionalFormatting sqref="B2:B6">
    <cfRule type="expression" dxfId="2" priority="2">
      <formula>ISERROR(B2)</formula>
    </cfRule>
  </conditionalFormatting>
  <conditionalFormatting sqref="S9:S204">
    <cfRule type="expression" dxfId="1" priority="1">
      <formula>$A9&lt;&gt;""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ignoredErrors>
    <ignoredError sqref="T9" formulaRange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830025-865D-4F8A-91CC-62A79B0398EB}">
          <x14:formula1>
            <xm:f>OFFSET(turma!$A$2,0,0,COUNTA(turma!B2:B200),1)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E6D20-0657-40AE-8D50-B6B95C470E11}">
  <sheetPr codeName="Planilha3"/>
  <dimension ref="A1:H100"/>
  <sheetViews>
    <sheetView workbookViewId="0">
      <selection activeCell="A10" sqref="A10"/>
    </sheetView>
  </sheetViews>
  <sheetFormatPr defaultRowHeight="15" x14ac:dyDescent="0.25"/>
  <cols>
    <col min="1" max="1" width="76.85546875" bestFit="1" customWidth="1"/>
    <col min="4" max="4" width="32.42578125" customWidth="1"/>
    <col min="5" max="5" width="12.28515625" customWidth="1"/>
    <col min="6" max="6" width="20" customWidth="1"/>
    <col min="7" max="7" width="11.28515625" bestFit="1" customWidth="1"/>
    <col min="8" max="8" width="21.85546875" style="3" customWidth="1"/>
  </cols>
  <sheetData>
    <row r="1" spans="1:8" x14ac:dyDescent="0.25">
      <c r="B1" s="22" t="s">
        <v>18</v>
      </c>
      <c r="C1" s="23" t="s">
        <v>85</v>
      </c>
      <c r="D1" s="25" t="s">
        <v>21</v>
      </c>
      <c r="E1" s="25" t="s">
        <v>20</v>
      </c>
      <c r="F1" s="24" t="s">
        <v>22</v>
      </c>
      <c r="G1" s="28" t="s">
        <v>86</v>
      </c>
      <c r="H1" s="27" t="s">
        <v>87</v>
      </c>
    </row>
    <row r="2" spans="1:8" x14ac:dyDescent="0.25">
      <c r="A2" t="str">
        <f>B2&amp;" /  "&amp;C2&amp;" /  "&amp;D2&amp;" /  "&amp;E2&amp;" /  "&amp;F2</f>
        <v xml:space="preserve"> /   /   /   /  </v>
      </c>
      <c r="G2" s="1"/>
    </row>
    <row r="3" spans="1:8" x14ac:dyDescent="0.25">
      <c r="A3" t="str">
        <f t="shared" ref="A3:A66" si="0">B3&amp;" /  "&amp;C3&amp;" /  "&amp;D3&amp;" /  "&amp;E3&amp;" /  "&amp;F3</f>
        <v xml:space="preserve"> /   /   /   /  </v>
      </c>
      <c r="G3" s="1"/>
    </row>
    <row r="4" spans="1:8" x14ac:dyDescent="0.25">
      <c r="A4" t="str">
        <f t="shared" si="0"/>
        <v xml:space="preserve"> /   /   /   /  </v>
      </c>
      <c r="G4" s="1"/>
    </row>
    <row r="5" spans="1:8" x14ac:dyDescent="0.25">
      <c r="A5" t="str">
        <f t="shared" si="0"/>
        <v xml:space="preserve"> /   /   /   /  </v>
      </c>
      <c r="G5" s="1"/>
    </row>
    <row r="6" spans="1:8" x14ac:dyDescent="0.25">
      <c r="A6" t="str">
        <f t="shared" si="0"/>
        <v xml:space="preserve"> /   /   /   /  </v>
      </c>
      <c r="G6" s="1"/>
    </row>
    <row r="7" spans="1:8" x14ac:dyDescent="0.25">
      <c r="A7" t="str">
        <f t="shared" si="0"/>
        <v xml:space="preserve"> /   /   /   /  </v>
      </c>
    </row>
    <row r="8" spans="1:8" x14ac:dyDescent="0.25">
      <c r="A8" t="str">
        <f t="shared" si="0"/>
        <v xml:space="preserve"> /   /   /   /  </v>
      </c>
    </row>
    <row r="9" spans="1:8" x14ac:dyDescent="0.25">
      <c r="A9" t="str">
        <f t="shared" si="0"/>
        <v xml:space="preserve"> /   /   /   /  </v>
      </c>
    </row>
    <row r="10" spans="1:8" x14ac:dyDescent="0.25">
      <c r="A10" t="str">
        <f t="shared" si="0"/>
        <v xml:space="preserve"> /   /   /   /  </v>
      </c>
    </row>
    <row r="11" spans="1:8" x14ac:dyDescent="0.25">
      <c r="A11" t="str">
        <f t="shared" si="0"/>
        <v xml:space="preserve"> /   /   /   /  </v>
      </c>
    </row>
    <row r="12" spans="1:8" x14ac:dyDescent="0.25">
      <c r="A12" t="str">
        <f t="shared" si="0"/>
        <v xml:space="preserve"> /   /   /   /  </v>
      </c>
    </row>
    <row r="13" spans="1:8" x14ac:dyDescent="0.25">
      <c r="A13" t="str">
        <f t="shared" si="0"/>
        <v xml:space="preserve"> /   /   /   /  </v>
      </c>
    </row>
    <row r="14" spans="1:8" x14ac:dyDescent="0.25">
      <c r="A14" t="str">
        <f t="shared" si="0"/>
        <v xml:space="preserve"> /   /   /   /  </v>
      </c>
    </row>
    <row r="15" spans="1:8" x14ac:dyDescent="0.25">
      <c r="A15" t="str">
        <f t="shared" si="0"/>
        <v xml:space="preserve"> /   /   /   /  </v>
      </c>
    </row>
    <row r="16" spans="1:8" x14ac:dyDescent="0.25">
      <c r="A16" t="str">
        <f t="shared" si="0"/>
        <v xml:space="preserve"> /   /   /   /  </v>
      </c>
    </row>
    <row r="17" spans="1:1" x14ac:dyDescent="0.25">
      <c r="A17" t="str">
        <f t="shared" si="0"/>
        <v xml:space="preserve"> /   /   /   /  </v>
      </c>
    </row>
    <row r="18" spans="1:1" x14ac:dyDescent="0.25">
      <c r="A18" t="str">
        <f t="shared" si="0"/>
        <v xml:space="preserve"> /   /   /   /  </v>
      </c>
    </row>
    <row r="19" spans="1:1" x14ac:dyDescent="0.25">
      <c r="A19" t="str">
        <f t="shared" si="0"/>
        <v xml:space="preserve"> /   /   /   /  </v>
      </c>
    </row>
    <row r="20" spans="1:1" x14ac:dyDescent="0.25">
      <c r="A20" t="str">
        <f t="shared" si="0"/>
        <v xml:space="preserve"> /   /   /   /  </v>
      </c>
    </row>
    <row r="21" spans="1:1" x14ac:dyDescent="0.25">
      <c r="A21" t="str">
        <f t="shared" si="0"/>
        <v xml:space="preserve"> /   /   /   /  </v>
      </c>
    </row>
    <row r="22" spans="1:1" x14ac:dyDescent="0.25">
      <c r="A22" t="str">
        <f t="shared" si="0"/>
        <v xml:space="preserve"> /   /   /   /  </v>
      </c>
    </row>
    <row r="23" spans="1:1" x14ac:dyDescent="0.25">
      <c r="A23" t="str">
        <f t="shared" si="0"/>
        <v xml:space="preserve"> /   /   /   /  </v>
      </c>
    </row>
    <row r="24" spans="1:1" x14ac:dyDescent="0.25">
      <c r="A24" t="str">
        <f t="shared" si="0"/>
        <v xml:space="preserve"> /   /   /   /  </v>
      </c>
    </row>
    <row r="25" spans="1:1" x14ac:dyDescent="0.25">
      <c r="A25" t="str">
        <f t="shared" si="0"/>
        <v xml:space="preserve"> /   /   /   /  </v>
      </c>
    </row>
    <row r="26" spans="1:1" x14ac:dyDescent="0.25">
      <c r="A26" t="str">
        <f t="shared" si="0"/>
        <v xml:space="preserve"> /   /   /   /  </v>
      </c>
    </row>
    <row r="27" spans="1:1" x14ac:dyDescent="0.25">
      <c r="A27" t="str">
        <f t="shared" si="0"/>
        <v xml:space="preserve"> /   /   /   /  </v>
      </c>
    </row>
    <row r="28" spans="1:1" x14ac:dyDescent="0.25">
      <c r="A28" t="str">
        <f t="shared" si="0"/>
        <v xml:space="preserve"> /   /   /   /  </v>
      </c>
    </row>
    <row r="29" spans="1:1" x14ac:dyDescent="0.25">
      <c r="A29" t="str">
        <f t="shared" si="0"/>
        <v xml:space="preserve"> /   /   /   /  </v>
      </c>
    </row>
    <row r="30" spans="1:1" x14ac:dyDescent="0.25">
      <c r="A30" t="str">
        <f t="shared" si="0"/>
        <v xml:space="preserve"> /   /   /   /  </v>
      </c>
    </row>
    <row r="31" spans="1:1" x14ac:dyDescent="0.25">
      <c r="A31" t="str">
        <f t="shared" si="0"/>
        <v xml:space="preserve"> /   /   /   /  </v>
      </c>
    </row>
    <row r="32" spans="1:1" x14ac:dyDescent="0.25">
      <c r="A32" t="str">
        <f t="shared" si="0"/>
        <v xml:space="preserve"> /   /   /   /  </v>
      </c>
    </row>
    <row r="33" spans="1:1" x14ac:dyDescent="0.25">
      <c r="A33" t="str">
        <f t="shared" si="0"/>
        <v xml:space="preserve"> /   /   /   /  </v>
      </c>
    </row>
    <row r="34" spans="1:1" x14ac:dyDescent="0.25">
      <c r="A34" t="str">
        <f t="shared" si="0"/>
        <v xml:space="preserve"> /   /   /   /  </v>
      </c>
    </row>
    <row r="35" spans="1:1" x14ac:dyDescent="0.25">
      <c r="A35" t="str">
        <f t="shared" si="0"/>
        <v xml:space="preserve"> /   /   /   /  </v>
      </c>
    </row>
    <row r="36" spans="1:1" x14ac:dyDescent="0.25">
      <c r="A36" t="str">
        <f t="shared" si="0"/>
        <v xml:space="preserve"> /   /   /   /  </v>
      </c>
    </row>
    <row r="37" spans="1:1" x14ac:dyDescent="0.25">
      <c r="A37" t="str">
        <f t="shared" si="0"/>
        <v xml:space="preserve"> /   /   /   /  </v>
      </c>
    </row>
    <row r="38" spans="1:1" x14ac:dyDescent="0.25">
      <c r="A38" t="str">
        <f t="shared" si="0"/>
        <v xml:space="preserve"> /   /   /   /  </v>
      </c>
    </row>
    <row r="39" spans="1:1" x14ac:dyDescent="0.25">
      <c r="A39" t="str">
        <f t="shared" si="0"/>
        <v xml:space="preserve"> /   /   /   /  </v>
      </c>
    </row>
    <row r="40" spans="1:1" x14ac:dyDescent="0.25">
      <c r="A40" t="str">
        <f t="shared" si="0"/>
        <v xml:space="preserve"> /   /   /   /  </v>
      </c>
    </row>
    <row r="41" spans="1:1" x14ac:dyDescent="0.25">
      <c r="A41" t="str">
        <f t="shared" si="0"/>
        <v xml:space="preserve"> /   /   /   /  </v>
      </c>
    </row>
    <row r="42" spans="1:1" x14ac:dyDescent="0.25">
      <c r="A42" t="str">
        <f t="shared" si="0"/>
        <v xml:space="preserve"> /   /   /   /  </v>
      </c>
    </row>
    <row r="43" spans="1:1" x14ac:dyDescent="0.25">
      <c r="A43" t="str">
        <f t="shared" si="0"/>
        <v xml:space="preserve"> /   /   /   /  </v>
      </c>
    </row>
    <row r="44" spans="1:1" x14ac:dyDescent="0.25">
      <c r="A44" t="str">
        <f t="shared" si="0"/>
        <v xml:space="preserve"> /   /   /   /  </v>
      </c>
    </row>
    <row r="45" spans="1:1" x14ac:dyDescent="0.25">
      <c r="A45" t="str">
        <f t="shared" si="0"/>
        <v xml:space="preserve"> /   /   /   /  </v>
      </c>
    </row>
    <row r="46" spans="1:1" x14ac:dyDescent="0.25">
      <c r="A46" t="str">
        <f t="shared" si="0"/>
        <v xml:space="preserve"> /   /   /   /  </v>
      </c>
    </row>
    <row r="47" spans="1:1" x14ac:dyDescent="0.25">
      <c r="A47" t="str">
        <f t="shared" si="0"/>
        <v xml:space="preserve"> /   /   /   /  </v>
      </c>
    </row>
    <row r="48" spans="1:1" x14ac:dyDescent="0.25">
      <c r="A48" t="str">
        <f t="shared" si="0"/>
        <v xml:space="preserve"> /   /   /   /  </v>
      </c>
    </row>
    <row r="49" spans="1:1" x14ac:dyDescent="0.25">
      <c r="A49" t="str">
        <f t="shared" si="0"/>
        <v xml:space="preserve"> /   /   /   /  </v>
      </c>
    </row>
    <row r="50" spans="1:1" x14ac:dyDescent="0.25">
      <c r="A50" t="str">
        <f t="shared" si="0"/>
        <v xml:space="preserve"> /   /   /   /  </v>
      </c>
    </row>
    <row r="51" spans="1:1" x14ac:dyDescent="0.25">
      <c r="A51" t="str">
        <f t="shared" si="0"/>
        <v xml:space="preserve"> /   /   /   /  </v>
      </c>
    </row>
    <row r="52" spans="1:1" x14ac:dyDescent="0.25">
      <c r="A52" t="str">
        <f t="shared" si="0"/>
        <v xml:space="preserve"> /   /   /   /  </v>
      </c>
    </row>
    <row r="53" spans="1:1" x14ac:dyDescent="0.25">
      <c r="A53" t="str">
        <f t="shared" si="0"/>
        <v xml:space="preserve"> /   /   /   /  </v>
      </c>
    </row>
    <row r="54" spans="1:1" x14ac:dyDescent="0.25">
      <c r="A54" t="str">
        <f t="shared" si="0"/>
        <v xml:space="preserve"> /   /   /   /  </v>
      </c>
    </row>
    <row r="55" spans="1:1" x14ac:dyDescent="0.25">
      <c r="A55" t="str">
        <f t="shared" si="0"/>
        <v xml:space="preserve"> /   /   /   /  </v>
      </c>
    </row>
    <row r="56" spans="1:1" x14ac:dyDescent="0.25">
      <c r="A56" t="str">
        <f t="shared" si="0"/>
        <v xml:space="preserve"> /   /   /   /  </v>
      </c>
    </row>
    <row r="57" spans="1:1" x14ac:dyDescent="0.25">
      <c r="A57" t="str">
        <f t="shared" si="0"/>
        <v xml:space="preserve"> /   /   /   /  </v>
      </c>
    </row>
    <row r="58" spans="1:1" x14ac:dyDescent="0.25">
      <c r="A58" t="str">
        <f t="shared" si="0"/>
        <v xml:space="preserve"> /   /   /   /  </v>
      </c>
    </row>
    <row r="59" spans="1:1" x14ac:dyDescent="0.25">
      <c r="A59" t="str">
        <f t="shared" si="0"/>
        <v xml:space="preserve"> /   /   /   /  </v>
      </c>
    </row>
    <row r="60" spans="1:1" x14ac:dyDescent="0.25">
      <c r="A60" t="str">
        <f t="shared" si="0"/>
        <v xml:space="preserve"> /   /   /   /  </v>
      </c>
    </row>
    <row r="61" spans="1:1" x14ac:dyDescent="0.25">
      <c r="A61" t="str">
        <f t="shared" si="0"/>
        <v xml:space="preserve"> /   /   /   /  </v>
      </c>
    </row>
    <row r="62" spans="1:1" x14ac:dyDescent="0.25">
      <c r="A62" t="str">
        <f t="shared" si="0"/>
        <v xml:space="preserve"> /   /   /   /  </v>
      </c>
    </row>
    <row r="63" spans="1:1" x14ac:dyDescent="0.25">
      <c r="A63" t="str">
        <f t="shared" si="0"/>
        <v xml:space="preserve"> /   /   /   /  </v>
      </c>
    </row>
    <row r="64" spans="1:1" x14ac:dyDescent="0.25">
      <c r="A64" t="str">
        <f t="shared" si="0"/>
        <v xml:space="preserve"> /   /   /   /  </v>
      </c>
    </row>
    <row r="65" spans="1:1" x14ac:dyDescent="0.25">
      <c r="A65" t="str">
        <f t="shared" si="0"/>
        <v xml:space="preserve"> /   /   /   /  </v>
      </c>
    </row>
    <row r="66" spans="1:1" x14ac:dyDescent="0.25">
      <c r="A66" t="str">
        <f t="shared" si="0"/>
        <v xml:space="preserve"> /   /   /   /  </v>
      </c>
    </row>
    <row r="67" spans="1:1" x14ac:dyDescent="0.25">
      <c r="A67" t="str">
        <f t="shared" ref="A67:A100" si="1">B67&amp;" /  "&amp;C67&amp;" /  "&amp;D67&amp;" /  "&amp;E67&amp;" /  "&amp;F67</f>
        <v xml:space="preserve"> /   /   /   /  </v>
      </c>
    </row>
    <row r="68" spans="1:1" x14ac:dyDescent="0.25">
      <c r="A68" t="str">
        <f t="shared" si="1"/>
        <v xml:space="preserve"> /   /   /   /  </v>
      </c>
    </row>
    <row r="69" spans="1:1" x14ac:dyDescent="0.25">
      <c r="A69" t="str">
        <f t="shared" si="1"/>
        <v xml:space="preserve"> /   /   /   /  </v>
      </c>
    </row>
    <row r="70" spans="1:1" x14ac:dyDescent="0.25">
      <c r="A70" t="str">
        <f t="shared" si="1"/>
        <v xml:space="preserve"> /   /   /   /  </v>
      </c>
    </row>
    <row r="71" spans="1:1" x14ac:dyDescent="0.25">
      <c r="A71" t="str">
        <f t="shared" si="1"/>
        <v xml:space="preserve"> /   /   /   /  </v>
      </c>
    </row>
    <row r="72" spans="1:1" x14ac:dyDescent="0.25">
      <c r="A72" t="str">
        <f t="shared" si="1"/>
        <v xml:space="preserve"> /   /   /   /  </v>
      </c>
    </row>
    <row r="73" spans="1:1" x14ac:dyDescent="0.25">
      <c r="A73" t="str">
        <f t="shared" si="1"/>
        <v xml:space="preserve"> /   /   /   /  </v>
      </c>
    </row>
    <row r="74" spans="1:1" x14ac:dyDescent="0.25">
      <c r="A74" t="str">
        <f t="shared" si="1"/>
        <v xml:space="preserve"> /   /   /   /  </v>
      </c>
    </row>
    <row r="75" spans="1:1" x14ac:dyDescent="0.25">
      <c r="A75" t="str">
        <f t="shared" si="1"/>
        <v xml:space="preserve"> /   /   /   /  </v>
      </c>
    </row>
    <row r="76" spans="1:1" x14ac:dyDescent="0.25">
      <c r="A76" t="str">
        <f t="shared" si="1"/>
        <v xml:space="preserve"> /   /   /   /  </v>
      </c>
    </row>
    <row r="77" spans="1:1" x14ac:dyDescent="0.25">
      <c r="A77" t="str">
        <f t="shared" si="1"/>
        <v xml:space="preserve"> /   /   /   /  </v>
      </c>
    </row>
    <row r="78" spans="1:1" x14ac:dyDescent="0.25">
      <c r="A78" t="str">
        <f t="shared" si="1"/>
        <v xml:space="preserve"> /   /   /   /  </v>
      </c>
    </row>
    <row r="79" spans="1:1" x14ac:dyDescent="0.25">
      <c r="A79" t="str">
        <f t="shared" si="1"/>
        <v xml:space="preserve"> /   /   /   /  </v>
      </c>
    </row>
    <row r="80" spans="1:1" x14ac:dyDescent="0.25">
      <c r="A80" t="str">
        <f t="shared" si="1"/>
        <v xml:space="preserve"> /   /   /   /  </v>
      </c>
    </row>
    <row r="81" spans="1:1" x14ac:dyDescent="0.25">
      <c r="A81" t="str">
        <f t="shared" si="1"/>
        <v xml:space="preserve"> /   /   /   /  </v>
      </c>
    </row>
    <row r="82" spans="1:1" x14ac:dyDescent="0.25">
      <c r="A82" t="str">
        <f t="shared" si="1"/>
        <v xml:space="preserve"> /   /   /   /  </v>
      </c>
    </row>
    <row r="83" spans="1:1" x14ac:dyDescent="0.25">
      <c r="A83" t="str">
        <f t="shared" si="1"/>
        <v xml:space="preserve"> /   /   /   /  </v>
      </c>
    </row>
    <row r="84" spans="1:1" x14ac:dyDescent="0.25">
      <c r="A84" t="str">
        <f t="shared" si="1"/>
        <v xml:space="preserve"> /   /   /   /  </v>
      </c>
    </row>
    <row r="85" spans="1:1" x14ac:dyDescent="0.25">
      <c r="A85" t="str">
        <f t="shared" si="1"/>
        <v xml:space="preserve"> /   /   /   /  </v>
      </c>
    </row>
    <row r="86" spans="1:1" x14ac:dyDescent="0.25">
      <c r="A86" t="str">
        <f t="shared" si="1"/>
        <v xml:space="preserve"> /   /   /   /  </v>
      </c>
    </row>
    <row r="87" spans="1:1" x14ac:dyDescent="0.25">
      <c r="A87" t="str">
        <f t="shared" si="1"/>
        <v xml:space="preserve"> /   /   /   /  </v>
      </c>
    </row>
    <row r="88" spans="1:1" x14ac:dyDescent="0.25">
      <c r="A88" t="str">
        <f t="shared" si="1"/>
        <v xml:space="preserve"> /   /   /   /  </v>
      </c>
    </row>
    <row r="89" spans="1:1" x14ac:dyDescent="0.25">
      <c r="A89" t="str">
        <f t="shared" si="1"/>
        <v xml:space="preserve"> /   /   /   /  </v>
      </c>
    </row>
    <row r="90" spans="1:1" x14ac:dyDescent="0.25">
      <c r="A90" t="str">
        <f t="shared" si="1"/>
        <v xml:space="preserve"> /   /   /   /  </v>
      </c>
    </row>
    <row r="91" spans="1:1" x14ac:dyDescent="0.25">
      <c r="A91" t="str">
        <f t="shared" si="1"/>
        <v xml:space="preserve"> /   /   /   /  </v>
      </c>
    </row>
    <row r="92" spans="1:1" x14ac:dyDescent="0.25">
      <c r="A92" t="str">
        <f t="shared" si="1"/>
        <v xml:space="preserve"> /   /   /   /  </v>
      </c>
    </row>
    <row r="93" spans="1:1" x14ac:dyDescent="0.25">
      <c r="A93" t="str">
        <f t="shared" si="1"/>
        <v xml:space="preserve"> /   /   /   /  </v>
      </c>
    </row>
    <row r="94" spans="1:1" x14ac:dyDescent="0.25">
      <c r="A94" t="str">
        <f t="shared" si="1"/>
        <v xml:space="preserve"> /   /   /   /  </v>
      </c>
    </row>
    <row r="95" spans="1:1" x14ac:dyDescent="0.25">
      <c r="A95" t="str">
        <f t="shared" si="1"/>
        <v xml:space="preserve"> /   /   /   /  </v>
      </c>
    </row>
    <row r="96" spans="1:1" x14ac:dyDescent="0.25">
      <c r="A96" t="str">
        <f t="shared" si="1"/>
        <v xml:space="preserve"> /   /   /   /  </v>
      </c>
    </row>
    <row r="97" spans="1:1" x14ac:dyDescent="0.25">
      <c r="A97" t="str">
        <f t="shared" si="1"/>
        <v xml:space="preserve"> /   /   /   /  </v>
      </c>
    </row>
    <row r="98" spans="1:1" x14ac:dyDescent="0.25">
      <c r="A98" t="str">
        <f t="shared" si="1"/>
        <v xml:space="preserve"> /   /   /   /  </v>
      </c>
    </row>
    <row r="99" spans="1:1" x14ac:dyDescent="0.25">
      <c r="A99" t="str">
        <f t="shared" si="1"/>
        <v xml:space="preserve"> /   /   /   /  </v>
      </c>
    </row>
    <row r="100" spans="1:1" x14ac:dyDescent="0.25">
      <c r="A100" t="str">
        <f t="shared" si="1"/>
        <v xml:space="preserve"> /   /   /   /  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D72A-F959-42A6-860C-A8DDD5C98D2F}">
  <sheetPr codeName="Planilha2"/>
  <dimension ref="A1:O17"/>
  <sheetViews>
    <sheetView showGridLines="0" workbookViewId="0">
      <selection activeCell="N2" sqref="N2"/>
    </sheetView>
  </sheetViews>
  <sheetFormatPr defaultRowHeight="15" x14ac:dyDescent="0.25"/>
  <cols>
    <col min="1" max="9" width="15.5703125" style="2" customWidth="1"/>
    <col min="10" max="14" width="15.5703125" customWidth="1"/>
  </cols>
  <sheetData>
    <row r="1" spans="1:15" s="32" customFormat="1" ht="45" x14ac:dyDescent="0.25">
      <c r="A1" s="34" t="s">
        <v>8</v>
      </c>
      <c r="B1" s="34" t="s">
        <v>9</v>
      </c>
      <c r="C1" s="34" t="s">
        <v>11</v>
      </c>
      <c r="D1" s="34" t="s">
        <v>12</v>
      </c>
      <c r="E1" s="34" t="s">
        <v>13</v>
      </c>
      <c r="F1" s="34" t="s">
        <v>14</v>
      </c>
      <c r="G1" s="34" t="s">
        <v>15</v>
      </c>
      <c r="H1" s="34" t="s">
        <v>16</v>
      </c>
      <c r="I1" s="34" t="s">
        <v>17</v>
      </c>
      <c r="J1" s="34" t="s">
        <v>94</v>
      </c>
      <c r="K1" s="34" t="s">
        <v>95</v>
      </c>
      <c r="L1" s="34" t="s">
        <v>96</v>
      </c>
      <c r="M1" s="34" t="s">
        <v>97</v>
      </c>
      <c r="N1" s="34" t="s">
        <v>101</v>
      </c>
    </row>
    <row r="2" spans="1:15" ht="21.75" customHeight="1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 t="s">
        <v>98</v>
      </c>
      <c r="L2" s="33" t="s">
        <v>99</v>
      </c>
      <c r="M2" s="33" t="s">
        <v>100</v>
      </c>
      <c r="N2" s="33" t="s">
        <v>93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phoneticPr fontId="3" type="noConversion"/>
  <dataValidations count="3">
    <dataValidation type="list" allowBlank="1" showInputMessage="1" showErrorMessage="1" sqref="E2" xr:uid="{D58F200D-AE74-4358-A5C7-A756E7809983}">
      <formula1>"1,2,3,4"</formula1>
    </dataValidation>
    <dataValidation type="list" allowBlank="1" showInputMessage="1" showErrorMessage="1" sqref="A2:B2" xr:uid="{3056700F-4B14-43D4-87E5-B13FEE8D5274}">
      <formula1>"SOMA,MÉDIA"</formula1>
    </dataValidation>
    <dataValidation type="list" allowBlank="1" showInputMessage="1" showErrorMessage="1" sqref="J2" xr:uid="{529F435E-3C2A-4881-8DE3-6F0572620A48}">
      <formula1>"SOMA,SUBST"</formula1>
    </dataValidation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E77F0-DDCC-4D7E-A2F1-4F858F6C48C7}">
  <sheetPr codeName="Planilha4"/>
  <dimension ref="A1:AG1001"/>
  <sheetViews>
    <sheetView workbookViewId="0">
      <selection activeCell="A9" sqref="A9"/>
    </sheetView>
  </sheetViews>
  <sheetFormatPr defaultRowHeight="15" x14ac:dyDescent="0.25"/>
  <cols>
    <col min="4" max="4" width="20.7109375" bestFit="1" customWidth="1"/>
    <col min="14" max="14" width="14.5703125" bestFit="1" customWidth="1"/>
  </cols>
  <sheetData>
    <row r="1" spans="4:20" x14ac:dyDescent="0.25">
      <c r="D1" t="s">
        <v>24</v>
      </c>
      <c r="H1" s="26">
        <v>0.30555555555555552</v>
      </c>
      <c r="I1" s="26">
        <v>0.55555555555555558</v>
      </c>
      <c r="J1" s="26">
        <v>0.76388888888888884</v>
      </c>
      <c r="L1" t="s">
        <v>25</v>
      </c>
      <c r="N1" t="s">
        <v>26</v>
      </c>
      <c r="T1" t="s">
        <v>27</v>
      </c>
    </row>
    <row r="2" spans="4:20" x14ac:dyDescent="0.25">
      <c r="D2" t="s">
        <v>28</v>
      </c>
      <c r="H2" s="26">
        <v>0.33333333333333331</v>
      </c>
      <c r="I2" s="26">
        <v>0.58333333333333337</v>
      </c>
      <c r="J2" s="26">
        <v>0.79166666666666663</v>
      </c>
      <c r="L2" t="s">
        <v>29</v>
      </c>
      <c r="N2" t="s">
        <v>30</v>
      </c>
      <c r="T2" t="s">
        <v>31</v>
      </c>
    </row>
    <row r="3" spans="4:20" x14ac:dyDescent="0.25">
      <c r="D3" t="s">
        <v>32</v>
      </c>
      <c r="H3" s="26">
        <v>0.375</v>
      </c>
      <c r="I3" s="26">
        <v>0.625</v>
      </c>
      <c r="J3" s="26">
        <v>0.83333333333333337</v>
      </c>
      <c r="L3" t="s">
        <v>33</v>
      </c>
      <c r="N3" t="s">
        <v>34</v>
      </c>
    </row>
    <row r="4" spans="4:20" x14ac:dyDescent="0.25">
      <c r="D4" t="s">
        <v>35</v>
      </c>
      <c r="H4" s="26">
        <v>0.40277777777777773</v>
      </c>
      <c r="I4" s="26">
        <v>0.65277777777777779</v>
      </c>
      <c r="J4" s="26">
        <v>0.86111111111111116</v>
      </c>
      <c r="L4" t="s">
        <v>36</v>
      </c>
      <c r="N4" t="s">
        <v>37</v>
      </c>
    </row>
    <row r="5" spans="4:20" x14ac:dyDescent="0.25">
      <c r="D5" t="s">
        <v>38</v>
      </c>
      <c r="H5" s="26">
        <v>0.43055555555555558</v>
      </c>
      <c r="I5" s="26">
        <v>0.68055555555555547</v>
      </c>
      <c r="J5" s="26">
        <v>0.88888888888888884</v>
      </c>
      <c r="L5" t="s">
        <v>39</v>
      </c>
      <c r="N5" t="s">
        <v>40</v>
      </c>
    </row>
    <row r="6" spans="4:20" x14ac:dyDescent="0.25">
      <c r="D6" t="s">
        <v>41</v>
      </c>
      <c r="L6" t="s">
        <v>42</v>
      </c>
      <c r="N6" t="s">
        <v>43</v>
      </c>
    </row>
    <row r="7" spans="4:20" x14ac:dyDescent="0.25">
      <c r="D7" t="s">
        <v>44</v>
      </c>
      <c r="H7" s="26">
        <f>H5-H1</f>
        <v>0.12500000000000006</v>
      </c>
      <c r="I7" s="26">
        <f>I5-I1</f>
        <v>0.12499999999999989</v>
      </c>
      <c r="J7" s="26">
        <f>J5-J1</f>
        <v>0.125</v>
      </c>
      <c r="L7" t="s">
        <v>45</v>
      </c>
      <c r="N7" t="s">
        <v>46</v>
      </c>
    </row>
    <row r="8" spans="4:20" x14ac:dyDescent="0.25">
      <c r="D8" t="s">
        <v>47</v>
      </c>
      <c r="L8" t="s">
        <v>48</v>
      </c>
      <c r="N8" t="s">
        <v>49</v>
      </c>
    </row>
    <row r="9" spans="4:20" x14ac:dyDescent="0.25">
      <c r="D9" t="s">
        <v>50</v>
      </c>
      <c r="L9" t="s">
        <v>51</v>
      </c>
      <c r="N9" t="s">
        <v>52</v>
      </c>
    </row>
    <row r="10" spans="4:20" x14ac:dyDescent="0.25">
      <c r="D10" t="s">
        <v>23</v>
      </c>
      <c r="L10" t="s">
        <v>53</v>
      </c>
      <c r="N10" t="s">
        <v>54</v>
      </c>
    </row>
    <row r="11" spans="4:20" x14ac:dyDescent="0.25">
      <c r="D11" t="s">
        <v>55</v>
      </c>
      <c r="L11" t="s">
        <v>56</v>
      </c>
      <c r="N11" t="s">
        <v>57</v>
      </c>
    </row>
    <row r="12" spans="4:20" x14ac:dyDescent="0.25">
      <c r="L12" t="s">
        <v>58</v>
      </c>
      <c r="N12" t="s">
        <v>59</v>
      </c>
    </row>
    <row r="13" spans="4:20" x14ac:dyDescent="0.25">
      <c r="L13" t="s">
        <v>60</v>
      </c>
      <c r="N13" t="s">
        <v>61</v>
      </c>
    </row>
    <row r="14" spans="4:20" x14ac:dyDescent="0.25">
      <c r="L14" t="s">
        <v>62</v>
      </c>
      <c r="N14" t="s">
        <v>63</v>
      </c>
    </row>
    <row r="15" spans="4:20" x14ac:dyDescent="0.25">
      <c r="L15" t="s">
        <v>64</v>
      </c>
      <c r="N15" t="s">
        <v>65</v>
      </c>
    </row>
    <row r="16" spans="4:20" x14ac:dyDescent="0.25">
      <c r="L16" t="s">
        <v>66</v>
      </c>
      <c r="N16" t="s">
        <v>67</v>
      </c>
    </row>
    <row r="17" spans="12:14" x14ac:dyDescent="0.25">
      <c r="L17" t="s">
        <v>68</v>
      </c>
      <c r="N17" t="s">
        <v>69</v>
      </c>
    </row>
    <row r="18" spans="12:14" x14ac:dyDescent="0.25">
      <c r="L18" t="s">
        <v>70</v>
      </c>
      <c r="N18" t="s">
        <v>71</v>
      </c>
    </row>
    <row r="19" spans="12:14" x14ac:dyDescent="0.25">
      <c r="L19" t="s">
        <v>72</v>
      </c>
      <c r="N19" t="s">
        <v>73</v>
      </c>
    </row>
    <row r="20" spans="12:14" x14ac:dyDescent="0.25">
      <c r="L20" t="s">
        <v>74</v>
      </c>
      <c r="N20" t="s">
        <v>75</v>
      </c>
    </row>
    <row r="21" spans="12:14" x14ac:dyDescent="0.25">
      <c r="L21" t="s">
        <v>76</v>
      </c>
    </row>
    <row r="22" spans="12:14" x14ac:dyDescent="0.25">
      <c r="L22" t="s">
        <v>77</v>
      </c>
    </row>
    <row r="23" spans="12:14" x14ac:dyDescent="0.25">
      <c r="L23" t="s">
        <v>78</v>
      </c>
    </row>
    <row r="24" spans="12:14" x14ac:dyDescent="0.25">
      <c r="L24" t="s">
        <v>79</v>
      </c>
    </row>
    <row r="25" spans="12:14" x14ac:dyDescent="0.25">
      <c r="L25" t="s">
        <v>80</v>
      </c>
    </row>
    <row r="26" spans="12:14" x14ac:dyDescent="0.25">
      <c r="L26" t="s">
        <v>81</v>
      </c>
    </row>
    <row r="27" spans="12:14" x14ac:dyDescent="0.25">
      <c r="L27" t="s">
        <v>82</v>
      </c>
    </row>
    <row r="1000" spans="1:33" x14ac:dyDescent="0.25">
      <c r="A1000" t="s">
        <v>83</v>
      </c>
      <c r="Z1000">
        <v>6</v>
      </c>
      <c r="AA1000" t="s">
        <v>90</v>
      </c>
      <c r="AB1000" t="s">
        <v>91</v>
      </c>
      <c r="AD1000" t="s">
        <v>92</v>
      </c>
      <c r="AF1000" t="s">
        <v>92</v>
      </c>
      <c r="AG1000">
        <v>6</v>
      </c>
    </row>
    <row r="1001" spans="1:33" x14ac:dyDescent="0.25">
      <c r="A1001" t="s">
        <v>84</v>
      </c>
    </row>
  </sheetData>
  <conditionalFormatting sqref="E1:E63">
    <cfRule type="expression" dxfId="0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28</vt:i4>
      </vt:variant>
    </vt:vector>
  </HeadingPairs>
  <TitlesOfParts>
    <vt:vector size="29" baseType="lpstr">
      <vt:lpstr>tela inicial</vt:lpstr>
      <vt:lpstr>area_de_notas</vt:lpstr>
      <vt:lpstr>avaliacoes_bi</vt:lpstr>
      <vt:lpstr>cel_ano_letivo</vt:lpstr>
      <vt:lpstr>cel_canto_sup</vt:lpstr>
      <vt:lpstr>cel_disciplina</vt:lpstr>
      <vt:lpstr>cel_inicial</vt:lpstr>
      <vt:lpstr>cel_modEnsino</vt:lpstr>
      <vt:lpstr>cel_turma</vt:lpstr>
      <vt:lpstr>cel_turno</vt:lpstr>
      <vt:lpstr>especializacao</vt:lpstr>
      <vt:lpstr>id_professor</vt:lpstr>
      <vt:lpstr>id_profissional</vt:lpstr>
      <vt:lpstr>media_bi</vt:lpstr>
      <vt:lpstr>media_final</vt:lpstr>
      <vt:lpstr>meta_aprov</vt:lpstr>
      <vt:lpstr>meta_recup</vt:lpstr>
      <vt:lpstr>nome_completo</vt:lpstr>
      <vt:lpstr>recup</vt:lpstr>
      <vt:lpstr>senha</vt:lpstr>
      <vt:lpstr>status</vt:lpstr>
      <vt:lpstr>termo_aprovado</vt:lpstr>
      <vt:lpstr>termo_cursando</vt:lpstr>
      <vt:lpstr>termo_recup</vt:lpstr>
      <vt:lpstr>termo_reprovado</vt:lpstr>
      <vt:lpstr>teste_de_area</vt:lpstr>
      <vt:lpstr>tipo_usuario</vt:lpstr>
      <vt:lpstr>nota!Titulos_de_impressao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Jônatas Mendonça Pimenta</cp:lastModifiedBy>
  <cp:lastPrinted>2023-10-12T12:11:21Z</cp:lastPrinted>
  <dcterms:created xsi:type="dcterms:W3CDTF">2023-08-19T12:45:15Z</dcterms:created>
  <dcterms:modified xsi:type="dcterms:W3CDTF">2023-10-12T15:21:36Z</dcterms:modified>
</cp:coreProperties>
</file>